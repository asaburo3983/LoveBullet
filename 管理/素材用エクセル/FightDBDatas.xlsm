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ose\Desktop\GitHub Repository\LoveBullet\管理\素材用エクセル\"/>
    </mc:Choice>
  </mc:AlternateContent>
  <xr:revisionPtr revIDLastSave="0" documentId="13_ncr:1_{B8A01D44-9741-4E0D-875F-1D4549963D1D}" xr6:coauthVersionLast="47" xr6:coauthVersionMax="47" xr10:uidLastSave="{00000000-0000-0000-0000-000000000000}"/>
  <bookViews>
    <workbookView xWindow="28680" yWindow="-120" windowWidth="29040" windowHeight="15840" activeTab="1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" i="4" l="1"/>
  <c r="T1" i="4"/>
  <c r="S1" i="4"/>
  <c r="R1" i="4"/>
  <c r="Q1" i="4"/>
  <c r="P1" i="4"/>
  <c r="O1" i="4"/>
  <c r="N1" i="4"/>
  <c r="AA1" i="1"/>
  <c r="Z1" i="1"/>
  <c r="Y1" i="1"/>
  <c r="X1" i="1"/>
  <c r="W1" i="1"/>
  <c r="V1" i="1"/>
  <c r="U1" i="1"/>
  <c r="T1" i="1"/>
  <c r="O1" i="1"/>
  <c r="S1" i="1"/>
  <c r="R1" i="1"/>
  <c r="Q1" i="1"/>
  <c r="P1" i="1"/>
  <c r="N1" i="1"/>
  <c r="G3" i="4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I7" i="1"/>
  <c r="K6" i="1"/>
  <c r="J6" i="1"/>
  <c r="I6" i="1"/>
  <c r="K5" i="1"/>
  <c r="J5" i="1"/>
  <c r="I5" i="1"/>
  <c r="K4" i="1"/>
  <c r="J4" i="1"/>
  <c r="I4" i="1"/>
  <c r="K3" i="1"/>
  <c r="J3" i="1"/>
  <c r="I3" i="1"/>
  <c r="F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I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J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K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L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M1" authorId="0" shapeId="0" xr:uid="{178673CC-5FCE-4D02-8674-07EE3C2F662D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N2" authorId="0" shapeId="0" xr:uid="{224708F3-2C21-4B3A-9D8A-47F993A662A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攻撃UP
</t>
        </r>
      </text>
    </comment>
    <comment ref="O2" authorId="0" shapeId="0" xr:uid="{E40EF381-92C4-47C4-AE08-95B1B77E20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永続攻撃UP
</t>
        </r>
      </text>
    </comment>
    <comment ref="P2" authorId="0" shapeId="0" xr:uid="{B07C6C2F-6817-48FF-B429-F1F289C66467}">
      <text>
        <r>
          <rPr>
            <b/>
            <sz val="9"/>
            <color indexed="81"/>
            <rFont val="MS P ゴシック"/>
            <family val="3"/>
            <charset val="128"/>
          </rPr>
          <t>防御</t>
        </r>
      </text>
    </comment>
    <comment ref="Q2" authorId="0" shapeId="0" xr:uid="{37E7CD35-4619-4126-8426-4294B30D994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永続防御
</t>
        </r>
      </text>
    </comment>
    <comment ref="R2" authorId="0" shapeId="0" xr:uid="{7D928EAE-6FC5-49D5-8E63-C0716FE7E8A9}">
      <text>
        <r>
          <rPr>
            <b/>
            <sz val="9"/>
            <color indexed="81"/>
            <rFont val="MS P ゴシック"/>
            <family val="3"/>
            <charset val="128"/>
          </rPr>
          <t>攻撃弱体化</t>
        </r>
      </text>
    </comment>
    <comment ref="S2" authorId="0" shapeId="0" xr:uid="{69E06959-7708-46B2-9A3B-728721D04C71}">
      <text>
        <r>
          <rPr>
            <b/>
            <sz val="9"/>
            <color indexed="81"/>
            <rFont val="MS P ゴシック"/>
            <family val="3"/>
            <charset val="128"/>
          </rPr>
          <t>防御弱体化</t>
        </r>
      </text>
    </comment>
    <comment ref="T2" authorId="0" shapeId="0" xr:uid="{8BD72ED6-7327-4400-A00D-85FA2F99A33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スタン
</t>
        </r>
      </text>
    </comment>
    <comment ref="U2" authorId="0" shapeId="0" xr:uid="{A075F9D9-8087-4DDF-8383-1EAB636778CD}">
      <text>
        <r>
          <rPr>
            <b/>
            <sz val="9"/>
            <color indexed="81"/>
            <rFont val="MS P ゴシック"/>
            <family val="3"/>
            <charset val="128"/>
          </rPr>
          <t>HP回復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<sst xmlns="http://schemas.openxmlformats.org/spreadsheetml/2006/main" count="318" uniqueCount="181">
  <si>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</si>
  <si>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</si>
  <si>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</si>
  <si>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</si>
  <si>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</si>
  <si>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</si>
  <si>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</si>
  <si>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</si>
  <si>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</si>
  <si>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</si>
  <si>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</si>
  <si>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</si>
  <si>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</si>
  <si>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</si>
  <si>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</si>
  <si>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</si>
  <si>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</si>
  <si>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</si>
  <si>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</si>
  <si>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</si>
  <si>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</si>
  <si>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</si>
  <si>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</si>
  <si>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</si>
  <si>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</si>
  <si>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</si>
  <si>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</si>
  <si>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</si>
  <si>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</si>
  <si>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</si>
  <si>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</si>
  <si>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</si>
  <si>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</si>
  <si>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</si>
  <si>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</si>
  <si>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</si>
  <si>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</si>
  <si>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</si>
  <si>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</si>
  <si>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</si>
  <si>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</si>
  <si>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</si>
  <si>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</si>
  <si>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</si>
  <si>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</si>
  <si>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</si>
  <si>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</si>
  <si>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</si>
  <si>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</si>
  <si>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</si>
  <si>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</si>
  <si>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</si>
  <si>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</si>
  <si>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</si>
  <si>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</si>
  <si>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</si>
  <si>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</si>
  <si>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</si>
  <si>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</si>
  <si>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</si>
  <si>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</si>
  <si>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</si>
  <si>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</si>
  <si>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</si>
  <si>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</si>
  <si>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</si>
  <si>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</si>
  <si>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</si>
  <si>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</si>
  <si>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</si>
  <si>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</si>
  <si>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</si>
  <si>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</si>
  <si>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</si>
  <si>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ランダム</t>
    <phoneticPr fontId="1"/>
  </si>
  <si>
    <t>自傷</t>
    <rPh sb="0" eb="2">
      <t>ジショウ</t>
    </rPh>
    <phoneticPr fontId="1"/>
  </si>
  <si>
    <t>リロード</t>
    <phoneticPr fontId="1"/>
  </si>
  <si>
    <t>コッキング</t>
    <phoneticPr fontId="1"/>
  </si>
  <si>
    <t>N回攻撃</t>
    <rPh sb="1" eb="2">
      <t>カイ</t>
    </rPh>
    <rPh sb="2" eb="4">
      <t>コウゲキ</t>
    </rPh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</si>
  <si>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</si>
  <si>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</si>
  <si>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</si>
  <si>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</si>
  <si>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</si>
  <si>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</si>
  <si>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</si>
  <si>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</si>
  <si>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</si>
  <si>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</si>
  <si>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</si>
  <si>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</si>
  <si>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</si>
  <si>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</si>
  <si>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</si>
  <si>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</si>
  <si>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</si>
  <si>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</si>
  <si>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</si>
  <si>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</si>
  <si>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</si>
  <si>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</si>
  <si>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</si>
  <si>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</si>
  <si>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</si>
  <si>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</si>
  <si>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</si>
  <si>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</si>
  <si>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</si>
  <si>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</si>
  <si>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</si>
  <si>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</si>
  <si>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</si>
  <si>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</si>
  <si>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</si>
  <si>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</si>
  <si>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</si>
  <si>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</si>
  <si>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</si>
  <si>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</si>
  <si>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</si>
  <si>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</si>
  <si>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</si>
  <si>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</si>
  <si>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</si>
  <si>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</si>
  <si>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</si>
  <si>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</si>
  <si>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</si>
  <si>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</si>
  <si>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</si>
  <si>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</si>
  <si>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</si>
  <si>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</si>
  <si>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test</t>
    <phoneticPr fontId="1"/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</si>
  <si>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</si>
  <si>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</si>
  <si>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</si>
  <si>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</si>
  <si>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ツライヌ</t>
    <phoneticPr fontId="1"/>
  </si>
  <si>
    <t>クライヌ</t>
    <phoneticPr fontId="1"/>
  </si>
  <si>
    <t>シンドイヌ</t>
    <phoneticPr fontId="1"/>
  </si>
  <si>
    <t>サケンタウロス</t>
    <phoneticPr fontId="1"/>
  </si>
  <si>
    <t>タバコウモリ</t>
    <phoneticPr fontId="1"/>
  </si>
  <si>
    <t>つらい気持ちを引き起こす犬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</si>
  <si>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くらい気持ちを引き起こす犬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</si>
  <si>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しんどい気持ちを引き起こす犬</t>
    <rPh sb="4" eb="6">
      <t>キモ</t>
    </rPh>
    <rPh sb="8" eb="9">
      <t>ヒ</t>
    </rPh>
    <rPh sb="10" eb="11">
      <t>オ</t>
    </rPh>
    <rPh sb="13" eb="14">
      <t>イヌ</t>
    </rPh>
    <phoneticPr fontId="1"/>
  </si>
  <si>
    <t>タバコを吸いたくさせるコウモリ</t>
    <rPh sb="4" eb="5">
      <t>ス</t>
    </rPh>
    <phoneticPr fontId="1"/>
  </si>
  <si>
    <t>固い考えを生む元凶のモンスター</t>
    <rPh sb="0" eb="1">
      <t>カタ</t>
    </rPh>
    <rPh sb="2" eb="3">
      <t>カンガ</t>
    </rPh>
    <rPh sb="5" eb="6">
      <t>ウ</t>
    </rPh>
    <rPh sb="7" eb="9">
      <t>ゲンキョウ</t>
    </rPh>
    <phoneticPr fontId="1"/>
  </si>
  <si>
    <t>ニブリーバグ</t>
    <phoneticPr fontId="1"/>
  </si>
  <si>
    <t>考えを鈍らせる元凶の虫</t>
    <rPh sb="0" eb="1">
      <t>カンガ</t>
    </rPh>
    <rPh sb="3" eb="4">
      <t>ニブ</t>
    </rPh>
    <rPh sb="7" eb="9">
      <t>ゲンキョウ</t>
    </rPh>
    <rPh sb="10" eb="11">
      <t>ムシ</t>
    </rPh>
    <phoneticPr fontId="1"/>
  </si>
  <si>
    <t>固くなる</t>
    <rPh sb="0" eb="1">
      <t>カタ</t>
    </rPh>
    <phoneticPr fontId="1"/>
  </si>
  <si>
    <t>酒を飲みすぎると現れるモンスター</t>
    <rPh sb="0" eb="1">
      <t>サケ</t>
    </rPh>
    <rPh sb="2" eb="3">
      <t>ノ</t>
    </rPh>
    <rPh sb="8" eb="9">
      <t>アラワ</t>
    </rPh>
    <phoneticPr fontId="1"/>
  </si>
  <si>
    <t>汚い言葉で人を追い詰めるゾウ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</si>
  <si>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バリ・ゾウ・ゴン</t>
    <phoneticPr fontId="1"/>
  </si>
  <si>
    <t>ヨルノハート</t>
    <phoneticPr fontId="1"/>
  </si>
  <si>
    <t>ユウウツパンチ</t>
    <phoneticPr fontId="1"/>
  </si>
  <si>
    <t>ハイテンション</t>
    <phoneticPr fontId="1"/>
  </si>
  <si>
    <t>攻撃力上昇</t>
    <rPh sb="0" eb="2">
      <t>コウゲキ</t>
    </rPh>
    <rPh sb="2" eb="3">
      <t>リョク</t>
    </rPh>
    <rPh sb="3" eb="5">
      <t>ジョウショウ</t>
    </rPh>
    <phoneticPr fontId="1"/>
  </si>
  <si>
    <t>夜の気持ちを生む元凶のモンスター</t>
    <rPh sb="0" eb="1">
      <t>ヨル</t>
    </rPh>
    <rPh sb="2" eb="4">
      <t>キモ</t>
    </rPh>
    <rPh sb="6" eb="7">
      <t>ウ</t>
    </rPh>
    <rPh sb="8" eb="10">
      <t>ゲンキョウ</t>
    </rPh>
    <phoneticPr fontId="1"/>
  </si>
  <si>
    <t>アサノハート</t>
    <phoneticPr fontId="1"/>
  </si>
  <si>
    <t>朝の気持ちを生む元凶のモンスター</t>
    <rPh sb="0" eb="1">
      <t>アサ</t>
    </rPh>
    <rPh sb="2" eb="4">
      <t>キモ</t>
    </rPh>
    <rPh sb="6" eb="7">
      <t>ウ</t>
    </rPh>
    <rPh sb="8" eb="10">
      <t>ゲンキョウ</t>
    </rPh>
    <phoneticPr fontId="1"/>
  </si>
  <si>
    <t>ネムケ</t>
    <phoneticPr fontId="1"/>
  </si>
  <si>
    <t>ウゴケン</t>
    <phoneticPr fontId="1"/>
  </si>
  <si>
    <t>Damage</t>
    <phoneticPr fontId="1"/>
  </si>
  <si>
    <t>Buff2</t>
    <phoneticPr fontId="1"/>
  </si>
  <si>
    <t>Value</t>
    <phoneticPr fontId="1"/>
  </si>
  <si>
    <t>Bf_None</t>
    <phoneticPr fontId="1"/>
  </si>
  <si>
    <t>Bf_Attack</t>
    <phoneticPr fontId="1"/>
  </si>
  <si>
    <t>Bf_Attack_Never</t>
    <phoneticPr fontId="1"/>
  </si>
  <si>
    <t>Bf_Diffence</t>
    <phoneticPr fontId="1"/>
  </si>
  <si>
    <t>Bf_Diffence_Never</t>
    <phoneticPr fontId="1"/>
  </si>
  <si>
    <t>Bf_Weaken_Attack</t>
    <phoneticPr fontId="1"/>
  </si>
  <si>
    <t>Bf_Weaken_Diffence</t>
    <phoneticPr fontId="1"/>
  </si>
  <si>
    <t>Bf_Stan</t>
    <phoneticPr fontId="1"/>
  </si>
  <si>
    <t>Bf_Heal</t>
    <phoneticPr fontId="1"/>
  </si>
  <si>
    <t>Sp_All</t>
    <phoneticPr fontId="1"/>
  </si>
  <si>
    <t>Sp_Random</t>
    <phoneticPr fontId="1"/>
  </si>
  <si>
    <t>Sp_MultiAttack</t>
    <phoneticPr fontId="1"/>
  </si>
  <si>
    <t>Sp_SelfHarm</t>
    <phoneticPr fontId="1"/>
  </si>
  <si>
    <t>Sp_Reload</t>
    <phoneticPr fontId="1"/>
  </si>
  <si>
    <t>Sp_Cocking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</si>
</sst>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 tint="0.499984740745262"/>
      <name val="游ゴシック"/>
      <family val="2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5" borderId="0" xfId="0" applyFill="1" applyAlignment="1">
      <alignment vertical="center" wrapText="1"/>
    </xf>
    <xf numFmtId="0" fontId="0" fillId="15" borderId="0" xfId="0" applyFill="1">
      <alignment vertical="center"/>
    </xf>
    <xf numFmtId="0" fontId="2" fillId="15" borderId="0" xfId="1" applyFill="1">
      <alignment vertical="center"/>
    </xf>
    <xf numFmtId="0" fontId="3" fillId="15" borderId="0" xfId="2" applyFill="1">
      <alignment vertical="center"/>
    </xf>
    <xf numFmtId="0" fontId="2" fillId="0" borderId="0" xfId="1" applyFill="1">
      <alignment vertical="center"/>
    </xf>
    <xf numFmtId="0" fontId="3" fillId="0" borderId="0" xfId="2" applyFill="1">
      <alignment vertical="center"/>
    </xf>
    <xf numFmtId="0" fontId="6" fillId="17" borderId="0" xfId="0" applyFont="1" applyFill="1">
      <alignment vertical="center"/>
    </xf>
    <xf numFmtId="0" fontId="6" fillId="16" borderId="0" xfId="0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2" applyFont="1" applyFill="1">
      <alignment vertical="center"/>
    </xf>
    <xf numFmtId="0" fontId="6" fillId="0" borderId="0" xfId="0" applyFont="1">
      <alignment vertical="center"/>
    </xf>
    <xf numFmtId="0" fontId="6" fillId="16" borderId="0" xfId="2" applyFont="1" applyFill="1">
      <alignment vertical="center"/>
    </xf>
    <xf numFmtId="0" fontId="6" fillId="6" borderId="0" xfId="1" applyFont="1">
      <alignment vertical="center"/>
    </xf>
    <xf numFmtId="0" fontId="6" fillId="7" borderId="0" xfId="2" applyFont="1">
      <alignment vertical="center"/>
    </xf>
    <xf numFmtId="0" fontId="0" fillId="18" borderId="0" xfId="0" applyFill="1">
      <alignment vertical="center"/>
    </xf>
    <xf numFmtId="0" fontId="0" fillId="0" borderId="1" xfId="0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9" borderId="0" xfId="0" applyFill="1">
      <alignment vertical="center"/>
    </xf>
    <xf numFmtId="0" fontId="0" fillId="19" borderId="1" xfId="0" applyFill="1" applyBorder="1">
      <alignment vertical="center"/>
    </xf>
    <xf numFmtId="0" fontId="6" fillId="17" borderId="0" xfId="1" applyFont="1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5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</xdr:row>
          <xdr:rowOff>19050</xdr:rowOff>
        </xdr:from>
        <xdr:to>
          <xdr:col>16</xdr:col>
          <xdr:colOff>190500</xdr:colOff>
          <xdr:row>16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9</xdr:row>
          <xdr:rowOff>133350</xdr:rowOff>
        </xdr:from>
        <xdr:to>
          <xdr:col>16</xdr:col>
          <xdr:colOff>304800</xdr:colOff>
          <xdr:row>12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16</xdr:row>
          <xdr:rowOff>209550</xdr:rowOff>
        </xdr:from>
        <xdr:to>
          <xdr:col>16</xdr:col>
          <xdr:colOff>152400</xdr:colOff>
          <xdr:row>20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4</xdr:row>
          <xdr:rowOff>190500</xdr:rowOff>
        </xdr:from>
        <xdr:to>
          <xdr:col>16</xdr:col>
          <xdr:colOff>485775</xdr:colOff>
          <xdr:row>9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0" sqref="L10"/>
    </sheetView>
  </sheetViews>
  <sheetFormatPr defaultRowHeight="18.75"/>
  <cols>
    <col min="1" max="1" width="20.625" customWidth="1"/>
  </cols>
  <sheetData>
    <row r="1" spans="1:9">
      <c r="A1" t="s">
        <v>121</v>
      </c>
      <c r="B1" t="s">
        <v>122</v>
      </c>
      <c r="C1" t="s">
        <v>123</v>
      </c>
    </row>
    <row r="2" spans="1:9">
      <c r="A2" t="s">
        <v>124</v>
      </c>
    </row>
    <row r="4" spans="1:9">
      <c r="B4" t="s">
        <v>125</v>
      </c>
      <c r="C4" t="s">
        <v>126</v>
      </c>
      <c r="D4" t="s">
        <v>127</v>
      </c>
      <c r="E4" t="s">
        <v>128</v>
      </c>
      <c r="F4" t="s">
        <v>129</v>
      </c>
      <c r="G4" t="s">
        <v>130</v>
      </c>
      <c r="H4" t="s">
        <v>131</v>
      </c>
      <c r="I4" t="s">
        <v>132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323850</xdr:colOff>
                    <xdr:row>13</xdr:row>
                    <xdr:rowOff>19050</xdr:rowOff>
                  </from>
                  <to>
                    <xdr:col>16</xdr:col>
                    <xdr:colOff>190500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438150</xdr:colOff>
                    <xdr:row>9</xdr:row>
                    <xdr:rowOff>133350</xdr:rowOff>
                  </from>
                  <to>
                    <xdr:col>16</xdr:col>
                    <xdr:colOff>304800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276225</xdr:colOff>
                    <xdr:row>16</xdr:row>
                    <xdr:rowOff>209550</xdr:rowOff>
                  </from>
                  <to>
                    <xdr:col>16</xdr:col>
                    <xdr:colOff>152400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428625</xdr:colOff>
                    <xdr:row>4</xdr:row>
                    <xdr:rowOff>190500</xdr:rowOff>
                  </from>
                  <to>
                    <xdr:col>16</xdr:col>
                    <xdr:colOff>485775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AA12"/>
  <sheetViews>
    <sheetView tabSelected="1" topLeftCell="E1" zoomScale="85" zoomScaleNormal="85" workbookViewId="0">
      <selection activeCell="N1" sqref="N1"/>
    </sheetView>
  </sheetViews>
  <sheetFormatPr defaultRowHeight="18.75"/>
  <cols>
    <col min="1" max="1" width="7.875" customWidth="1"/>
    <col min="2" max="2" width="9.25" customWidth="1"/>
    <col min="3" max="3" width="36.375" customWidth="1"/>
    <col min="4" max="4" width="73" customWidth="1"/>
    <col min="5" max="5" width="16.875" customWidth="1"/>
    <col min="8" max="8" width="16.125" customWidth="1"/>
    <col min="9" max="9" width="11.875" customWidth="1"/>
    <col min="10" max="10" width="9.25" customWidth="1"/>
    <col min="11" max="11" width="9" customWidth="1"/>
    <col min="12" max="12" width="8.875" customWidth="1"/>
    <col min="13" max="13" width="6.5" bestFit="1" customWidth="1"/>
    <col min="14" max="14" width="11" customWidth="1"/>
    <col min="15" max="15" width="13" customWidth="1"/>
    <col min="16" max="16" width="11.5" customWidth="1"/>
    <col min="17" max="17" width="16.375" customWidth="1"/>
    <col min="18" max="18" width="18" customWidth="1"/>
    <col min="19" max="19" width="18.5" customWidth="1"/>
    <col min="20" max="20" width="7.5" customWidth="1"/>
    <col min="21" max="21" width="13.75" customWidth="1"/>
    <col min="22" max="22" width="9.625" customWidth="1"/>
  </cols>
  <sheetData>
    <row r="1" spans="1:27" ht="39" customHeight="1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163</v>
      </c>
      <c r="G1" t="s">
        <v>19</v>
      </c>
      <c r="H1" t="s">
        <v>11</v>
      </c>
      <c r="I1" s="8" t="s">
        <v>28</v>
      </c>
      <c r="J1" s="8" t="s">
        <v>79</v>
      </c>
      <c r="K1" s="3" t="s">
        <v>29</v>
      </c>
      <c r="L1" t="s">
        <v>26</v>
      </c>
      <c r="M1" t="s">
        <v>27</v>
      </c>
      <c r="N1" s="32" t="str">
        <f>Buff!$C4</f>
        <v>Bf_Attack</v>
      </c>
      <c r="O1" s="32" t="str">
        <f>Buff!$C5</f>
        <v>Bf_Attack_Never</v>
      </c>
      <c r="P1" s="32" t="str">
        <f>Buff!$C6</f>
        <v>Bf_Diffence</v>
      </c>
      <c r="Q1" s="32" t="str">
        <f>Buff!$C7</f>
        <v>Bf_Diffence_Never</v>
      </c>
      <c r="R1" s="32" t="str">
        <f>Buff!$C8</f>
        <v>Bf_Weaken_Attack</v>
      </c>
      <c r="S1" s="32" t="str">
        <f>Buff!$C9</f>
        <v>Bf_Weaken_Diffence</v>
      </c>
      <c r="T1" s="32" t="str">
        <f>Buff!$C10</f>
        <v>Bf_Stan</v>
      </c>
      <c r="U1" s="32" t="str">
        <f>Buff!$C11</f>
        <v>Bf_Heal</v>
      </c>
      <c r="V1" s="33" t="str">
        <f>Special!$C4</f>
        <v>Sp_All</v>
      </c>
      <c r="W1" s="33" t="str">
        <f>Special!C5</f>
        <v>Sp_Random</v>
      </c>
      <c r="X1" s="33" t="str">
        <f>Special!$C6</f>
        <v>Sp_MultiAttack</v>
      </c>
      <c r="Y1" s="33" t="str">
        <f>Special!$C7</f>
        <v>Sp_SelfHarm</v>
      </c>
      <c r="Z1" s="33" t="str">
        <f>Special!$C8</f>
        <v>Sp_Reload</v>
      </c>
      <c r="AA1" s="33" t="str">
        <f>Special!$C9</f>
        <v>Sp_Cocking</v>
      </c>
    </row>
    <row r="2" spans="1:27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  <c r="X2" t="s">
        <v>2</v>
      </c>
      <c r="Y2" t="s">
        <v>2</v>
      </c>
      <c r="Z2" t="s">
        <v>2</v>
      </c>
      <c r="AA2" t="s">
        <v>2</v>
      </c>
    </row>
    <row r="3" spans="1:27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 s="5">
        <v>0</v>
      </c>
      <c r="I3">
        <f>N3+(O3 * 16)</f>
        <v>18</v>
      </c>
      <c r="J3">
        <f>P3 +Q3*16 +R3*256</f>
        <v>274</v>
      </c>
      <c r="K3">
        <f>S3 +T3*16+U3 *256+V3 *4096+W3*8192</f>
        <v>14865</v>
      </c>
      <c r="L3">
        <v>0</v>
      </c>
      <c r="M3">
        <v>0</v>
      </c>
      <c r="N3">
        <v>2</v>
      </c>
      <c r="O3">
        <v>1</v>
      </c>
      <c r="P3">
        <v>2</v>
      </c>
      <c r="Q3">
        <v>1</v>
      </c>
      <c r="R3">
        <v>1</v>
      </c>
      <c r="S3">
        <v>1</v>
      </c>
      <c r="T3">
        <v>1</v>
      </c>
      <c r="U3">
        <v>10</v>
      </c>
      <c r="V3">
        <v>1</v>
      </c>
      <c r="W3">
        <v>1</v>
      </c>
      <c r="X3">
        <v>1</v>
      </c>
      <c r="Y3">
        <v>1</v>
      </c>
      <c r="AA3">
        <v>1</v>
      </c>
    </row>
    <row r="4" spans="1:27">
      <c r="A4">
        <v>0</v>
      </c>
      <c r="B4">
        <v>0</v>
      </c>
      <c r="C4" t="s">
        <v>12</v>
      </c>
      <c r="D4" t="s">
        <v>133</v>
      </c>
      <c r="E4">
        <v>1</v>
      </c>
      <c r="F4">
        <v>2</v>
      </c>
      <c r="G4">
        <v>1</v>
      </c>
      <c r="H4" s="5">
        <v>1</v>
      </c>
      <c r="I4">
        <f t="shared" ref="I4:I12" si="0">Q4+(R4 * 16)</f>
        <v>0</v>
      </c>
      <c r="J4">
        <f t="shared" ref="J4:J12" si="1">T4 +U4*16 +V4*256</f>
        <v>0</v>
      </c>
      <c r="K4">
        <f t="shared" ref="K4:K12" si="2">X4 +Y4*16+Z4 *256+AA4 *4096+AB4*8192</f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0</v>
      </c>
      <c r="B5">
        <v>0</v>
      </c>
      <c r="C5" t="s">
        <v>13</v>
      </c>
      <c r="D5" t="s">
        <v>133</v>
      </c>
      <c r="E5">
        <v>2</v>
      </c>
      <c r="F5">
        <v>4</v>
      </c>
      <c r="G5">
        <v>1</v>
      </c>
      <c r="H5" s="5">
        <v>2</v>
      </c>
      <c r="I5">
        <f t="shared" si="0"/>
        <v>0</v>
      </c>
      <c r="J5">
        <f t="shared" si="1"/>
        <v>0</v>
      </c>
      <c r="K5">
        <f t="shared" si="2"/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>
        <v>0</v>
      </c>
      <c r="B6">
        <v>0</v>
      </c>
      <c r="C6" t="s">
        <v>14</v>
      </c>
      <c r="D6" t="s">
        <v>133</v>
      </c>
      <c r="E6">
        <v>4</v>
      </c>
      <c r="F6">
        <v>8</v>
      </c>
      <c r="G6">
        <v>3</v>
      </c>
      <c r="H6" s="5">
        <v>3</v>
      </c>
      <c r="I6">
        <f t="shared" si="0"/>
        <v>0</v>
      </c>
      <c r="J6">
        <f t="shared" si="1"/>
        <v>0</v>
      </c>
      <c r="K6">
        <f t="shared" si="2"/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>
        <v>0</v>
      </c>
      <c r="B7">
        <v>0</v>
      </c>
      <c r="C7" t="s">
        <v>15</v>
      </c>
      <c r="D7" t="s">
        <v>20</v>
      </c>
      <c r="E7">
        <v>2</v>
      </c>
      <c r="F7">
        <v>3</v>
      </c>
      <c r="G7">
        <v>2</v>
      </c>
      <c r="H7" s="5">
        <v>4</v>
      </c>
      <c r="I7">
        <f t="shared" si="0"/>
        <v>0</v>
      </c>
      <c r="J7">
        <f t="shared" si="1"/>
        <v>0</v>
      </c>
      <c r="K7">
        <f t="shared" si="2"/>
        <v>0</v>
      </c>
      <c r="L7">
        <v>1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>
        <v>0</v>
      </c>
      <c r="B8">
        <v>0</v>
      </c>
      <c r="C8" t="s">
        <v>23</v>
      </c>
      <c r="D8" t="s">
        <v>16</v>
      </c>
      <c r="E8">
        <v>2</v>
      </c>
      <c r="F8">
        <v>2</v>
      </c>
      <c r="G8">
        <v>1</v>
      </c>
      <c r="H8" s="5">
        <v>5</v>
      </c>
      <c r="I8">
        <f t="shared" si="0"/>
        <v>0</v>
      </c>
      <c r="J8">
        <f t="shared" si="1"/>
        <v>0</v>
      </c>
      <c r="K8">
        <f t="shared" si="2"/>
        <v>0</v>
      </c>
      <c r="L8">
        <v>3</v>
      </c>
      <c r="M8">
        <v>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>
        <v>0</v>
      </c>
      <c r="B9">
        <v>0</v>
      </c>
      <c r="C9" t="s">
        <v>25</v>
      </c>
      <c r="D9" t="s">
        <v>17</v>
      </c>
      <c r="E9">
        <v>2</v>
      </c>
      <c r="F9">
        <v>3</v>
      </c>
      <c r="G9">
        <v>1</v>
      </c>
      <c r="H9" s="5">
        <v>6</v>
      </c>
      <c r="I9">
        <f t="shared" si="0"/>
        <v>0</v>
      </c>
      <c r="J9">
        <f t="shared" si="1"/>
        <v>0</v>
      </c>
      <c r="K9">
        <f t="shared" si="2"/>
        <v>0</v>
      </c>
      <c r="L9">
        <v>2</v>
      </c>
      <c r="M9">
        <v>2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>
        <v>0</v>
      </c>
      <c r="B10">
        <v>0</v>
      </c>
      <c r="C10" t="s">
        <v>24</v>
      </c>
      <c r="D10" t="s">
        <v>18</v>
      </c>
      <c r="E10">
        <v>2</v>
      </c>
      <c r="F10">
        <v>3</v>
      </c>
      <c r="G10">
        <v>1</v>
      </c>
      <c r="H10" s="5">
        <v>7</v>
      </c>
      <c r="I10">
        <f t="shared" si="0"/>
        <v>0</v>
      </c>
      <c r="J10">
        <f t="shared" si="1"/>
        <v>0</v>
      </c>
      <c r="K10">
        <f t="shared" si="2"/>
        <v>0</v>
      </c>
      <c r="L10">
        <v>2</v>
      </c>
      <c r="M10">
        <v>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>
        <v>0</v>
      </c>
      <c r="B11">
        <v>1</v>
      </c>
      <c r="C11" t="s">
        <v>21</v>
      </c>
      <c r="D11" t="s">
        <v>133</v>
      </c>
      <c r="E11">
        <v>1</v>
      </c>
      <c r="F11">
        <v>0</v>
      </c>
      <c r="G11">
        <v>1</v>
      </c>
      <c r="H11" s="5">
        <v>8</v>
      </c>
      <c r="I11">
        <f t="shared" si="0"/>
        <v>0</v>
      </c>
      <c r="J11">
        <f t="shared" si="1"/>
        <v>0</v>
      </c>
      <c r="K11">
        <f t="shared" si="2"/>
        <v>0</v>
      </c>
      <c r="L11">
        <v>4</v>
      </c>
      <c r="M11">
        <v>4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0</v>
      </c>
      <c r="B12">
        <v>1</v>
      </c>
      <c r="C12" t="s">
        <v>22</v>
      </c>
      <c r="D12" t="s">
        <v>133</v>
      </c>
      <c r="E12">
        <v>2</v>
      </c>
      <c r="F12">
        <v>0</v>
      </c>
      <c r="G12">
        <v>1</v>
      </c>
      <c r="H12" s="5">
        <v>9</v>
      </c>
      <c r="I12">
        <f t="shared" si="0"/>
        <v>0</v>
      </c>
      <c r="J12">
        <f t="shared" si="1"/>
        <v>0</v>
      </c>
      <c r="K12">
        <f t="shared" si="2"/>
        <v>0</v>
      </c>
      <c r="L12">
        <v>4</v>
      </c>
      <c r="M12">
        <v>4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</sheetData>
  <phoneticPr fontId="1"/>
  <conditionalFormatting sqref="A4:B12">
    <cfRule type="cellIs" dxfId="14" priority="2" operator="equal">
      <formula>2</formula>
    </cfRule>
    <cfRule type="cellIs" dxfId="13" priority="3" operator="equal">
      <formula>1</formula>
    </cfRule>
    <cfRule type="cellIs" dxfId="12" priority="4" operator="equal">
      <formula>0</formula>
    </cfRule>
  </conditionalFormatting>
  <conditionalFormatting sqref="E1:F12 I1:I12 J2:K12 L1:M12 G2:H12">
    <cfRule type="cellIs" dxfId="11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F8"/>
  <sheetViews>
    <sheetView workbookViewId="0">
      <selection activeCell="B30" sqref="B30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33.625" customWidth="1"/>
  </cols>
  <sheetData>
    <row r="1" spans="1:6">
      <c r="A1" t="s">
        <v>11</v>
      </c>
      <c r="B1" t="s">
        <v>0</v>
      </c>
      <c r="C1" t="s">
        <v>45</v>
      </c>
      <c r="D1" t="s">
        <v>8</v>
      </c>
      <c r="E1" t="s">
        <v>165</v>
      </c>
      <c r="F1" t="s">
        <v>56</v>
      </c>
    </row>
    <row r="2" spans="1:6">
      <c r="A2" t="s">
        <v>2</v>
      </c>
      <c r="B2" t="s">
        <v>1</v>
      </c>
      <c r="C2" t="s">
        <v>1</v>
      </c>
      <c r="D2" t="s">
        <v>1</v>
      </c>
      <c r="E2" t="s">
        <v>2</v>
      </c>
      <c r="F2" t="s">
        <v>2</v>
      </c>
    </row>
    <row r="3" spans="1:6">
      <c r="A3">
        <v>0</v>
      </c>
      <c r="B3" t="s">
        <v>30</v>
      </c>
      <c r="C3" t="s">
        <v>46</v>
      </c>
      <c r="D3" t="s">
        <v>30</v>
      </c>
      <c r="E3">
        <v>0</v>
      </c>
      <c r="F3">
        <v>-1</v>
      </c>
    </row>
    <row r="4" spans="1:6">
      <c r="A4">
        <v>1</v>
      </c>
      <c r="B4" t="s">
        <v>90</v>
      </c>
      <c r="C4" t="s">
        <v>91</v>
      </c>
      <c r="D4" t="s">
        <v>92</v>
      </c>
      <c r="E4">
        <v>1</v>
      </c>
      <c r="F4">
        <v>-1</v>
      </c>
    </row>
    <row r="5" spans="1:6">
      <c r="A5">
        <v>2</v>
      </c>
      <c r="B5" t="s">
        <v>93</v>
      </c>
      <c r="C5" t="s">
        <v>94</v>
      </c>
      <c r="D5" t="s">
        <v>95</v>
      </c>
      <c r="E5">
        <v>1</v>
      </c>
      <c r="F5">
        <v>-1</v>
      </c>
    </row>
    <row r="6" spans="1:6">
      <c r="A6">
        <v>3</v>
      </c>
      <c r="B6" t="s">
        <v>96</v>
      </c>
      <c r="C6" t="s">
        <v>97</v>
      </c>
      <c r="D6" t="s">
        <v>98</v>
      </c>
      <c r="E6">
        <v>5</v>
      </c>
      <c r="F6">
        <v>-1</v>
      </c>
    </row>
    <row r="7" spans="1:6">
      <c r="A7">
        <v>4</v>
      </c>
      <c r="B7" t="s">
        <v>99</v>
      </c>
      <c r="C7" t="s">
        <v>100</v>
      </c>
      <c r="D7" t="s">
        <v>101</v>
      </c>
      <c r="E7">
        <v>5</v>
      </c>
      <c r="F7">
        <v>-1</v>
      </c>
    </row>
    <row r="8" spans="1:6">
      <c r="A8">
        <v>5</v>
      </c>
      <c r="B8" t="s">
        <v>102</v>
      </c>
      <c r="C8" t="s">
        <v>103</v>
      </c>
      <c r="D8" t="s">
        <v>104</v>
      </c>
      <c r="E8">
        <v>2</v>
      </c>
      <c r="F8">
        <v>-1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workbookViewId="0">
      <selection activeCell="C10" sqref="C10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27.625" customWidth="1"/>
  </cols>
  <sheetData>
    <row r="1" spans="1:4">
      <c r="A1" t="s">
        <v>11</v>
      </c>
      <c r="B1" t="s">
        <v>0</v>
      </c>
      <c r="C1" t="s">
        <v>45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30</v>
      </c>
      <c r="C3" t="s">
        <v>166</v>
      </c>
      <c r="D3" t="s">
        <v>30</v>
      </c>
    </row>
    <row r="4" spans="1:4">
      <c r="A4">
        <v>1</v>
      </c>
      <c r="B4" t="s">
        <v>31</v>
      </c>
      <c r="C4" t="s">
        <v>167</v>
      </c>
      <c r="D4" t="s">
        <v>32</v>
      </c>
    </row>
    <row r="5" spans="1:4">
      <c r="A5">
        <v>2</v>
      </c>
      <c r="B5" t="s">
        <v>33</v>
      </c>
      <c r="C5" t="s">
        <v>168</v>
      </c>
      <c r="D5" t="s">
        <v>34</v>
      </c>
    </row>
    <row r="6" spans="1:4">
      <c r="A6">
        <v>3</v>
      </c>
      <c r="B6" t="s">
        <v>35</v>
      </c>
      <c r="C6" t="s">
        <v>169</v>
      </c>
      <c r="D6" t="s">
        <v>36</v>
      </c>
    </row>
    <row r="7" spans="1:4">
      <c r="A7">
        <v>4</v>
      </c>
      <c r="B7" t="s">
        <v>37</v>
      </c>
      <c r="C7" t="s">
        <v>170</v>
      </c>
      <c r="D7" t="s">
        <v>38</v>
      </c>
    </row>
    <row r="8" spans="1:4">
      <c r="A8">
        <v>5</v>
      </c>
      <c r="B8" t="s">
        <v>39</v>
      </c>
      <c r="C8" t="s">
        <v>171</v>
      </c>
      <c r="D8" t="s">
        <v>40</v>
      </c>
    </row>
    <row r="9" spans="1:4">
      <c r="A9">
        <v>6</v>
      </c>
      <c r="B9" t="s">
        <v>41</v>
      </c>
      <c r="C9" t="s">
        <v>172</v>
      </c>
      <c r="D9" t="s">
        <v>42</v>
      </c>
    </row>
    <row r="10" spans="1:4">
      <c r="A10">
        <v>7</v>
      </c>
      <c r="B10" t="s">
        <v>43</v>
      </c>
      <c r="C10" t="s">
        <v>173</v>
      </c>
      <c r="D10" t="s">
        <v>44</v>
      </c>
    </row>
    <row r="11" spans="1:4">
      <c r="A11">
        <v>8</v>
      </c>
      <c r="B11" t="s">
        <v>119</v>
      </c>
      <c r="C11" t="s">
        <v>174</v>
      </c>
      <c r="D11" t="s">
        <v>120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B9" sqref="B9"/>
    </sheetView>
  </sheetViews>
  <sheetFormatPr defaultRowHeight="18.75"/>
  <cols>
    <col min="1" max="1" width="11.125" customWidth="1"/>
    <col min="2" max="2" width="15.625" customWidth="1"/>
    <col min="3" max="3" width="21.375" customWidth="1"/>
    <col min="4" max="4" width="22" customWidth="1"/>
  </cols>
  <sheetData>
    <row r="1" spans="1:4">
      <c r="A1" t="s">
        <v>11</v>
      </c>
      <c r="B1" t="s">
        <v>0</v>
      </c>
      <c r="C1" t="s">
        <v>45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30</v>
      </c>
      <c r="C3" t="s">
        <v>46</v>
      </c>
      <c r="D3" t="s">
        <v>30</v>
      </c>
    </row>
    <row r="4" spans="1:4">
      <c r="A4">
        <v>1</v>
      </c>
      <c r="B4" t="s">
        <v>73</v>
      </c>
      <c r="C4" t="s">
        <v>175</v>
      </c>
      <c r="D4" t="s">
        <v>82</v>
      </c>
    </row>
    <row r="5" spans="1:4">
      <c r="A5">
        <v>2</v>
      </c>
      <c r="B5" t="s">
        <v>74</v>
      </c>
      <c r="C5" t="s">
        <v>176</v>
      </c>
      <c r="D5" t="s">
        <v>81</v>
      </c>
    </row>
    <row r="6" spans="1:4">
      <c r="A6">
        <v>3</v>
      </c>
      <c r="B6" t="s">
        <v>78</v>
      </c>
      <c r="C6" t="s">
        <v>177</v>
      </c>
      <c r="D6" t="s">
        <v>80</v>
      </c>
    </row>
    <row r="7" spans="1:4">
      <c r="A7">
        <v>7</v>
      </c>
      <c r="B7" t="s">
        <v>75</v>
      </c>
      <c r="C7" t="s">
        <v>178</v>
      </c>
      <c r="D7" t="s">
        <v>83</v>
      </c>
    </row>
    <row r="8" spans="1:4">
      <c r="A8">
        <v>8</v>
      </c>
      <c r="B8" t="s">
        <v>76</v>
      </c>
      <c r="C8" t="s">
        <v>179</v>
      </c>
      <c r="D8" t="s">
        <v>84</v>
      </c>
    </row>
    <row r="9" spans="1:4">
      <c r="A9">
        <v>9</v>
      </c>
      <c r="B9" t="s">
        <v>77</v>
      </c>
      <c r="C9" t="s">
        <v>180</v>
      </c>
      <c r="D9" t="s">
        <v>85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1"/>
  <sheetViews>
    <sheetView topLeftCell="B1" zoomScaleNormal="100" workbookViewId="0">
      <selection activeCell="I16" sqref="I16"/>
    </sheetView>
  </sheetViews>
  <sheetFormatPr defaultRowHeight="18.75"/>
  <cols>
    <col min="5" max="5" width="16.25" bestFit="1" customWidth="1"/>
    <col min="6" max="6" width="41.75" bestFit="1" customWidth="1"/>
    <col min="8" max="8" width="17" customWidth="1"/>
    <col min="9" max="9" width="14.25" bestFit="1" customWidth="1"/>
    <col min="10" max="10" width="14.375" bestFit="1" customWidth="1"/>
    <col min="11" max="11" width="14.25" bestFit="1" customWidth="1"/>
    <col min="12" max="12" width="12.375" bestFit="1" customWidth="1"/>
  </cols>
  <sheetData>
    <row r="1" spans="1:12">
      <c r="A1" s="11" t="s">
        <v>4</v>
      </c>
      <c r="B1" s="12" t="s">
        <v>3</v>
      </c>
      <c r="C1" s="12" t="s">
        <v>11</v>
      </c>
      <c r="D1" s="12" t="s">
        <v>47</v>
      </c>
      <c r="E1" s="12" t="s">
        <v>0</v>
      </c>
      <c r="F1" s="12" t="s">
        <v>8</v>
      </c>
      <c r="G1" s="13" t="s">
        <v>48</v>
      </c>
      <c r="H1" s="13" t="s">
        <v>49</v>
      </c>
      <c r="I1" s="14" t="s">
        <v>50</v>
      </c>
      <c r="J1" s="14" t="s">
        <v>51</v>
      </c>
      <c r="K1" s="14" t="s">
        <v>52</v>
      </c>
      <c r="L1" s="14" t="s">
        <v>53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5" t="s">
        <v>2</v>
      </c>
      <c r="H2" s="15" t="s">
        <v>2</v>
      </c>
      <c r="I2" s="16" t="s">
        <v>2</v>
      </c>
      <c r="J2" s="16" t="s">
        <v>2</v>
      </c>
      <c r="K2" s="16" t="s">
        <v>2</v>
      </c>
      <c r="L2" s="16" t="s">
        <v>2</v>
      </c>
    </row>
    <row r="3" spans="1:12">
      <c r="A3">
        <v>0</v>
      </c>
      <c r="B3">
        <v>0</v>
      </c>
      <c r="C3" s="25">
        <v>0</v>
      </c>
      <c r="D3" s="25">
        <v>0</v>
      </c>
      <c r="E3" s="25" t="s">
        <v>54</v>
      </c>
      <c r="F3" s="25" t="s">
        <v>54</v>
      </c>
      <c r="G3" s="17">
        <v>15</v>
      </c>
      <c r="H3" s="17">
        <v>0</v>
      </c>
      <c r="I3" s="18">
        <v>0</v>
      </c>
      <c r="J3" s="18">
        <v>0</v>
      </c>
      <c r="K3" s="18">
        <v>0</v>
      </c>
      <c r="L3" s="18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105</v>
      </c>
      <c r="F4" t="s">
        <v>113</v>
      </c>
      <c r="G4" s="19">
        <v>10</v>
      </c>
      <c r="H4" s="19">
        <v>5</v>
      </c>
      <c r="I4" s="20">
        <v>1</v>
      </c>
      <c r="J4" s="20">
        <v>2</v>
      </c>
      <c r="K4" s="20">
        <v>0</v>
      </c>
      <c r="L4" s="20">
        <v>1</v>
      </c>
    </row>
    <row r="5" spans="1:12">
      <c r="A5">
        <v>0</v>
      </c>
      <c r="B5">
        <v>0</v>
      </c>
      <c r="C5" s="25">
        <v>2</v>
      </c>
      <c r="D5" s="25">
        <v>1</v>
      </c>
      <c r="E5" s="25" t="s">
        <v>111</v>
      </c>
      <c r="F5" s="25" t="s">
        <v>112</v>
      </c>
      <c r="G5" s="17">
        <v>10</v>
      </c>
      <c r="H5" s="17">
        <v>5</v>
      </c>
      <c r="I5" s="18">
        <v>2</v>
      </c>
      <c r="J5" s="18">
        <v>0</v>
      </c>
      <c r="K5" s="18">
        <v>6</v>
      </c>
      <c r="L5" s="18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106</v>
      </c>
      <c r="F6" t="s">
        <v>107</v>
      </c>
      <c r="G6" s="19">
        <v>16</v>
      </c>
      <c r="H6" s="19">
        <v>3</v>
      </c>
      <c r="I6" s="20">
        <v>3</v>
      </c>
      <c r="J6" s="20">
        <v>1</v>
      </c>
      <c r="K6" s="20">
        <v>4</v>
      </c>
      <c r="L6" s="20">
        <v>1</v>
      </c>
    </row>
    <row r="7" spans="1:12">
      <c r="A7">
        <v>0</v>
      </c>
      <c r="B7">
        <v>0</v>
      </c>
      <c r="C7" s="25">
        <v>4</v>
      </c>
      <c r="D7" s="25">
        <v>1</v>
      </c>
      <c r="E7" s="25" t="s">
        <v>148</v>
      </c>
      <c r="F7" s="25" t="s">
        <v>149</v>
      </c>
      <c r="G7" s="17">
        <v>16</v>
      </c>
      <c r="H7" s="17">
        <v>3</v>
      </c>
      <c r="I7" s="18">
        <v>1</v>
      </c>
      <c r="J7" s="18">
        <v>3</v>
      </c>
      <c r="K7" s="18">
        <v>0</v>
      </c>
      <c r="L7" s="18">
        <v>3</v>
      </c>
    </row>
    <row r="8" spans="1:12">
      <c r="A8">
        <v>0</v>
      </c>
      <c r="B8">
        <v>0</v>
      </c>
      <c r="C8">
        <v>5</v>
      </c>
      <c r="D8">
        <v>2</v>
      </c>
      <c r="E8" t="s">
        <v>109</v>
      </c>
      <c r="F8" t="s">
        <v>55</v>
      </c>
      <c r="G8" s="19">
        <v>25</v>
      </c>
      <c r="H8" s="19">
        <v>2</v>
      </c>
      <c r="I8" s="20">
        <v>2</v>
      </c>
      <c r="J8" s="20">
        <v>5</v>
      </c>
      <c r="K8" s="20">
        <v>3</v>
      </c>
      <c r="L8" s="20">
        <v>5</v>
      </c>
    </row>
    <row r="9" spans="1:12">
      <c r="A9">
        <v>0</v>
      </c>
      <c r="B9">
        <v>0</v>
      </c>
      <c r="C9" s="25">
        <v>6</v>
      </c>
      <c r="D9" s="25">
        <v>2</v>
      </c>
      <c r="E9" s="25" t="s">
        <v>110</v>
      </c>
      <c r="F9" s="25" t="s">
        <v>152</v>
      </c>
      <c r="G9" s="17">
        <v>30</v>
      </c>
      <c r="H9" s="17">
        <v>5</v>
      </c>
      <c r="I9" s="18">
        <v>6</v>
      </c>
      <c r="J9" s="18">
        <v>6</v>
      </c>
      <c r="K9" s="18">
        <v>7</v>
      </c>
      <c r="L9" s="18">
        <v>0</v>
      </c>
    </row>
    <row r="10" spans="1:12">
      <c r="A10">
        <v>0</v>
      </c>
      <c r="B10">
        <v>0</v>
      </c>
      <c r="C10">
        <v>7</v>
      </c>
      <c r="D10">
        <v>3</v>
      </c>
      <c r="E10" t="s">
        <v>138</v>
      </c>
      <c r="F10" t="s">
        <v>143</v>
      </c>
      <c r="G10" s="21">
        <v>20</v>
      </c>
      <c r="H10" s="21">
        <v>3</v>
      </c>
      <c r="I10" s="20">
        <v>1</v>
      </c>
      <c r="J10" s="20">
        <v>8</v>
      </c>
      <c r="K10" s="20">
        <v>6</v>
      </c>
      <c r="L10" s="20">
        <v>11</v>
      </c>
    </row>
    <row r="11" spans="1:12">
      <c r="A11">
        <v>0</v>
      </c>
      <c r="B11">
        <v>0</v>
      </c>
      <c r="C11" s="25">
        <v>8</v>
      </c>
      <c r="D11" s="25">
        <v>3</v>
      </c>
      <c r="E11" s="25" t="s">
        <v>139</v>
      </c>
      <c r="F11" s="25" t="s">
        <v>144</v>
      </c>
      <c r="G11" s="17">
        <v>20</v>
      </c>
      <c r="H11" s="17">
        <v>3</v>
      </c>
      <c r="I11" s="22">
        <v>1</v>
      </c>
      <c r="J11" s="22">
        <v>10</v>
      </c>
      <c r="K11" s="22">
        <v>0</v>
      </c>
      <c r="L11" s="22">
        <v>10</v>
      </c>
    </row>
    <row r="12" spans="1:12">
      <c r="A12">
        <v>0</v>
      </c>
      <c r="B12">
        <v>0</v>
      </c>
      <c r="C12">
        <v>9</v>
      </c>
      <c r="D12">
        <v>3</v>
      </c>
      <c r="E12" t="s">
        <v>140</v>
      </c>
      <c r="F12" t="s">
        <v>145</v>
      </c>
      <c r="G12" s="21">
        <v>20</v>
      </c>
      <c r="H12" s="21">
        <v>3</v>
      </c>
      <c r="I12" s="20">
        <v>9</v>
      </c>
      <c r="J12" s="20">
        <v>9</v>
      </c>
      <c r="K12" s="20">
        <v>11</v>
      </c>
      <c r="L12" s="20">
        <v>9</v>
      </c>
    </row>
    <row r="13" spans="1:12">
      <c r="A13">
        <v>0</v>
      </c>
      <c r="B13">
        <v>0</v>
      </c>
      <c r="C13" s="25">
        <v>10</v>
      </c>
      <c r="D13" s="25">
        <v>5</v>
      </c>
      <c r="E13" s="25" t="s">
        <v>141</v>
      </c>
      <c r="F13" s="25" t="s">
        <v>151</v>
      </c>
      <c r="G13" s="17">
        <v>25</v>
      </c>
      <c r="H13" s="17">
        <v>2</v>
      </c>
      <c r="I13" s="22">
        <v>12</v>
      </c>
      <c r="J13" s="22">
        <v>0</v>
      </c>
      <c r="K13" s="22">
        <v>0</v>
      </c>
      <c r="L13" s="22">
        <v>6</v>
      </c>
    </row>
    <row r="14" spans="1:12">
      <c r="A14">
        <v>0</v>
      </c>
      <c r="B14">
        <v>0</v>
      </c>
      <c r="C14">
        <v>11</v>
      </c>
      <c r="D14">
        <v>4</v>
      </c>
      <c r="E14" t="s">
        <v>142</v>
      </c>
      <c r="F14" t="s">
        <v>146</v>
      </c>
      <c r="G14" s="21">
        <v>10</v>
      </c>
      <c r="H14" s="21">
        <v>5</v>
      </c>
      <c r="I14" s="20">
        <v>13</v>
      </c>
      <c r="J14" s="20">
        <v>14</v>
      </c>
      <c r="K14" s="20">
        <v>0</v>
      </c>
      <c r="L14" s="20">
        <v>15</v>
      </c>
    </row>
    <row r="15" spans="1:12">
      <c r="A15">
        <v>0</v>
      </c>
      <c r="B15">
        <v>0</v>
      </c>
      <c r="C15" s="25">
        <v>12</v>
      </c>
      <c r="D15" s="25">
        <v>5</v>
      </c>
      <c r="E15" s="25" t="s">
        <v>108</v>
      </c>
      <c r="F15" s="25" t="s">
        <v>147</v>
      </c>
      <c r="G15" s="31">
        <v>30</v>
      </c>
      <c r="H15" s="31">
        <v>5</v>
      </c>
      <c r="I15" s="22">
        <v>0</v>
      </c>
      <c r="J15" s="22">
        <v>16</v>
      </c>
      <c r="K15" s="22">
        <v>0</v>
      </c>
      <c r="L15" s="22">
        <v>12</v>
      </c>
    </row>
    <row r="16" spans="1:12">
      <c r="A16">
        <v>0</v>
      </c>
      <c r="B16">
        <v>0</v>
      </c>
      <c r="C16">
        <v>13</v>
      </c>
      <c r="D16">
        <v>5</v>
      </c>
      <c r="E16" t="s">
        <v>154</v>
      </c>
      <c r="F16" t="s">
        <v>158</v>
      </c>
      <c r="G16" s="19">
        <v>10</v>
      </c>
      <c r="H16" s="19">
        <v>5</v>
      </c>
      <c r="I16" s="20">
        <v>17</v>
      </c>
      <c r="J16" s="20">
        <v>18</v>
      </c>
      <c r="K16" s="20">
        <v>17</v>
      </c>
      <c r="L16" s="20">
        <v>0</v>
      </c>
    </row>
    <row r="17" spans="1:12">
      <c r="A17">
        <v>0</v>
      </c>
      <c r="B17">
        <v>0</v>
      </c>
      <c r="C17" s="25">
        <v>14</v>
      </c>
      <c r="D17" s="25">
        <v>5</v>
      </c>
      <c r="E17" s="25" t="s">
        <v>159</v>
      </c>
      <c r="F17" s="25" t="s">
        <v>160</v>
      </c>
      <c r="G17" s="31">
        <v>10</v>
      </c>
      <c r="H17" s="31">
        <v>5</v>
      </c>
      <c r="I17" s="22">
        <v>19</v>
      </c>
      <c r="J17" s="22">
        <v>17</v>
      </c>
      <c r="K17" s="22">
        <v>19</v>
      </c>
      <c r="L17" s="22">
        <v>20</v>
      </c>
    </row>
    <row r="18" spans="1:12">
      <c r="G18" s="23"/>
      <c r="H18" s="23"/>
      <c r="I18" s="24"/>
      <c r="J18" s="24"/>
      <c r="K18" s="24"/>
      <c r="L18" s="24"/>
    </row>
    <row r="19" spans="1:12">
      <c r="G19" s="23"/>
      <c r="H19" s="23"/>
      <c r="I19" s="24"/>
      <c r="J19" s="24"/>
      <c r="K19" s="24"/>
      <c r="L19" s="24"/>
    </row>
    <row r="20" spans="1:12">
      <c r="G20" s="23"/>
      <c r="H20" s="23"/>
      <c r="I20" s="24"/>
      <c r="J20" s="24"/>
      <c r="K20" s="24"/>
      <c r="L20" s="24"/>
    </row>
    <row r="21" spans="1:12">
      <c r="G21" s="23"/>
      <c r="H21" s="23"/>
      <c r="I21" s="24"/>
      <c r="J21" s="24"/>
      <c r="K21" s="24"/>
      <c r="L21" s="24"/>
    </row>
    <row r="22" spans="1:12">
      <c r="G22" s="23"/>
      <c r="H22" s="23"/>
      <c r="I22" s="24"/>
      <c r="J22" s="24"/>
      <c r="K22" s="24"/>
      <c r="L22" s="24"/>
    </row>
    <row r="23" spans="1:12">
      <c r="G23" s="23"/>
      <c r="H23" s="23"/>
      <c r="I23" s="24"/>
      <c r="J23" s="24"/>
      <c r="K23" s="24"/>
      <c r="L23" s="24"/>
    </row>
    <row r="24" spans="1:12">
      <c r="G24" s="23"/>
      <c r="H24" s="23"/>
      <c r="I24" s="24"/>
      <c r="J24" s="24"/>
      <c r="K24" s="24"/>
      <c r="L24" s="24"/>
    </row>
    <row r="25" spans="1:12">
      <c r="G25" s="23"/>
      <c r="H25" s="23"/>
      <c r="I25" s="24"/>
      <c r="J25" s="24"/>
      <c r="K25" s="24"/>
      <c r="L25" s="24"/>
    </row>
    <row r="26" spans="1:12">
      <c r="G26" s="23"/>
      <c r="H26" s="23"/>
      <c r="I26" s="24"/>
      <c r="J26" s="24"/>
      <c r="K26" s="24"/>
      <c r="L26" s="24"/>
    </row>
    <row r="27" spans="1:12">
      <c r="G27" s="23"/>
      <c r="H27" s="23"/>
      <c r="I27" s="24"/>
      <c r="J27" s="24"/>
      <c r="K27" s="24"/>
      <c r="L27" s="24"/>
    </row>
    <row r="28" spans="1:12">
      <c r="G28" s="23"/>
      <c r="H28" s="23"/>
      <c r="I28" s="24"/>
      <c r="J28" s="24"/>
      <c r="K28" s="24"/>
      <c r="L28" s="24"/>
    </row>
    <row r="29" spans="1:12">
      <c r="G29" s="23"/>
      <c r="H29" s="23"/>
      <c r="I29" s="24"/>
      <c r="J29" s="24"/>
      <c r="K29" s="24"/>
      <c r="L29" s="24"/>
    </row>
    <row r="30" spans="1:12">
      <c r="G30" s="23"/>
      <c r="H30" s="23"/>
      <c r="I30" s="24"/>
      <c r="J30" s="24"/>
      <c r="K30" s="24"/>
      <c r="L30" s="24"/>
    </row>
    <row r="31" spans="1:12">
      <c r="G31" s="23"/>
      <c r="H31" s="23"/>
      <c r="I31" s="24"/>
      <c r="J31" s="24"/>
      <c r="K31" s="24"/>
      <c r="L31" s="24"/>
    </row>
    <row r="32" spans="1:12">
      <c r="G32" s="23"/>
      <c r="H32" s="23"/>
      <c r="I32" s="24"/>
      <c r="J32" s="24"/>
      <c r="K32" s="24"/>
      <c r="L32" s="24"/>
    </row>
    <row r="33" spans="7:12">
      <c r="G33" s="23"/>
      <c r="H33" s="23"/>
      <c r="I33" s="24"/>
      <c r="J33" s="24"/>
      <c r="K33" s="24"/>
      <c r="L33" s="24"/>
    </row>
    <row r="34" spans="7:12">
      <c r="G34" s="23"/>
      <c r="H34" s="23"/>
      <c r="I34" s="24"/>
      <c r="J34" s="24"/>
      <c r="K34" s="24"/>
      <c r="L34" s="24"/>
    </row>
    <row r="35" spans="7:12">
      <c r="G35" s="23"/>
      <c r="H35" s="23"/>
      <c r="I35" s="24"/>
      <c r="J35" s="24"/>
      <c r="K35" s="24"/>
      <c r="L35" s="24"/>
    </row>
    <row r="36" spans="7:12">
      <c r="G36" s="23"/>
      <c r="H36" s="23"/>
      <c r="I36" s="24"/>
      <c r="J36" s="24"/>
      <c r="K36" s="24"/>
      <c r="L36" s="24"/>
    </row>
    <row r="37" spans="7:12">
      <c r="G37" s="23"/>
      <c r="H37" s="23"/>
      <c r="I37" s="24"/>
      <c r="J37" s="24"/>
      <c r="K37" s="24"/>
      <c r="L37" s="24"/>
    </row>
    <row r="38" spans="7:12">
      <c r="G38" s="23"/>
      <c r="H38" s="23"/>
      <c r="I38" s="24"/>
      <c r="J38" s="24"/>
      <c r="K38" s="24"/>
      <c r="L38" s="24"/>
    </row>
    <row r="39" spans="7:12">
      <c r="G39" s="23"/>
      <c r="H39" s="23"/>
      <c r="I39" s="24"/>
      <c r="J39" s="24"/>
      <c r="K39" s="24"/>
      <c r="L39" s="24"/>
    </row>
    <row r="40" spans="7:12">
      <c r="G40" s="23"/>
      <c r="H40" s="23"/>
      <c r="I40" s="24"/>
      <c r="J40" s="24"/>
      <c r="K40" s="24"/>
      <c r="L40" s="24"/>
    </row>
    <row r="41" spans="7:12">
      <c r="G41" s="21"/>
      <c r="H41" s="21"/>
      <c r="I41" s="21"/>
      <c r="J41" s="21"/>
      <c r="K41" s="21"/>
      <c r="L41" s="21"/>
    </row>
  </sheetData>
  <phoneticPr fontId="1"/>
  <conditionalFormatting sqref="A3:B17">
    <cfRule type="cellIs" dxfId="10" priority="1" operator="equal">
      <formula>2</formula>
    </cfRule>
    <cfRule type="cellIs" dxfId="9" priority="2" operator="equal">
      <formula>1</formula>
    </cfRule>
    <cfRule type="cellIs" dxfId="8" priority="3" operator="equal">
      <formula>0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349A9C-CDE4-4B64-93A0-D8194324D5B6}">
          <x14:formula1>
            <xm:f>ActivePattern!$B$3:$B$100</xm:f>
          </x14:formula1>
          <xm:sqref>I3:L40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U100"/>
  <sheetViews>
    <sheetView topLeftCell="B1" workbookViewId="0">
      <selection activeCell="N2" sqref="N2"/>
    </sheetView>
  </sheetViews>
  <sheetFormatPr defaultRowHeight="18.75"/>
  <cols>
    <col min="2" max="2" width="24.5" customWidth="1"/>
    <col min="3" max="3" width="24.875" customWidth="1"/>
    <col min="9" max="9" width="16.875" customWidth="1"/>
    <col min="11" max="11" width="8.75" style="29"/>
  </cols>
  <sheetData>
    <row r="1" spans="1:21">
      <c r="A1" t="s">
        <v>11</v>
      </c>
      <c r="B1" t="s">
        <v>0</v>
      </c>
      <c r="C1" t="s">
        <v>8</v>
      </c>
      <c r="D1" s="6" t="s">
        <v>6</v>
      </c>
      <c r="E1" s="7" t="s">
        <v>5</v>
      </c>
      <c r="F1" s="8" t="s">
        <v>28</v>
      </c>
      <c r="G1" s="8" t="s">
        <v>164</v>
      </c>
      <c r="H1" s="3" t="s">
        <v>29</v>
      </c>
      <c r="I1" s="9" t="s">
        <v>56</v>
      </c>
      <c r="J1" t="s">
        <v>57</v>
      </c>
      <c r="K1" t="s">
        <v>3</v>
      </c>
      <c r="L1" s="29" t="s">
        <v>26</v>
      </c>
      <c r="M1" s="29" t="s">
        <v>27</v>
      </c>
      <c r="N1" t="str">
        <f>Buff!$C4</f>
        <v>Bf_Attack</v>
      </c>
      <c r="O1" t="str">
        <f>Buff!$C5</f>
        <v>Bf_Attack_Never</v>
      </c>
      <c r="P1" t="str">
        <f>Buff!$C6</f>
        <v>Bf_Diffence</v>
      </c>
      <c r="Q1" t="str">
        <f>Buff!$C7</f>
        <v>Bf_Diffence_Never</v>
      </c>
      <c r="R1" t="str">
        <f>Buff!$C8</f>
        <v>Bf_Weaken_Attack</v>
      </c>
      <c r="S1" t="str">
        <f>Buff!$C9</f>
        <v>Bf_Weaken_Diffence</v>
      </c>
      <c r="T1" t="str">
        <f>Buff!$C10</f>
        <v>Bf_Stan</v>
      </c>
      <c r="U1" t="str">
        <f>Buff!$C11</f>
        <v>Bf_Heal</v>
      </c>
    </row>
    <row r="2" spans="1:21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s="29" t="s">
        <v>2</v>
      </c>
      <c r="M2" s="29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</row>
    <row r="3" spans="1:21">
      <c r="A3" s="26">
        <v>0</v>
      </c>
      <c r="B3" s="26" t="s">
        <v>58</v>
      </c>
      <c r="C3" s="26" t="s">
        <v>58</v>
      </c>
      <c r="D3" s="26">
        <v>0</v>
      </c>
      <c r="E3" s="26">
        <v>0</v>
      </c>
      <c r="F3" s="26">
        <f>W3 + (X3 * 2)</f>
        <v>0</v>
      </c>
      <c r="G3" s="26">
        <f>X3 + (Y3 * 2)</f>
        <v>0</v>
      </c>
      <c r="H3" s="26">
        <v>0</v>
      </c>
      <c r="I3" s="26">
        <v>2</v>
      </c>
      <c r="J3" s="26">
        <v>0</v>
      </c>
      <c r="K3" s="26">
        <v>0</v>
      </c>
      <c r="L3" s="30">
        <v>0</v>
      </c>
      <c r="M3" s="30">
        <v>0</v>
      </c>
      <c r="N3" s="26">
        <v>0</v>
      </c>
      <c r="O3" s="26">
        <v>0</v>
      </c>
      <c r="P3" s="26">
        <v>0</v>
      </c>
      <c r="Q3" s="26">
        <v>0</v>
      </c>
      <c r="R3" s="26">
        <v>0</v>
      </c>
      <c r="S3" s="26">
        <v>0</v>
      </c>
      <c r="T3" s="26">
        <v>0</v>
      </c>
      <c r="U3" s="26">
        <v>0</v>
      </c>
    </row>
    <row r="4" spans="1:21">
      <c r="A4" s="26">
        <v>1</v>
      </c>
      <c r="B4" s="26" t="s">
        <v>59</v>
      </c>
      <c r="C4" s="26" t="s">
        <v>60</v>
      </c>
      <c r="D4" s="26">
        <v>5</v>
      </c>
      <c r="E4" s="26">
        <v>0</v>
      </c>
      <c r="F4" s="26">
        <v>0</v>
      </c>
      <c r="G4" s="26">
        <v>0</v>
      </c>
      <c r="H4" s="26">
        <v>0</v>
      </c>
      <c r="I4" s="26">
        <v>5</v>
      </c>
      <c r="J4" s="26">
        <v>1</v>
      </c>
      <c r="K4" s="26">
        <v>0</v>
      </c>
      <c r="L4" s="30">
        <v>2</v>
      </c>
      <c r="M4" s="30">
        <v>2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6">
        <v>0</v>
      </c>
      <c r="U4" s="26">
        <v>0</v>
      </c>
    </row>
    <row r="5" spans="1:21">
      <c r="A5" s="26">
        <v>2</v>
      </c>
      <c r="B5" s="26" t="s">
        <v>61</v>
      </c>
      <c r="C5" s="26" t="s">
        <v>35</v>
      </c>
      <c r="D5" s="26">
        <v>0</v>
      </c>
      <c r="E5" s="26">
        <v>7</v>
      </c>
      <c r="F5" s="26">
        <v>0</v>
      </c>
      <c r="G5" s="26">
        <v>0</v>
      </c>
      <c r="H5" s="26">
        <v>0</v>
      </c>
      <c r="I5" s="26">
        <v>5</v>
      </c>
      <c r="J5" s="26">
        <v>1</v>
      </c>
      <c r="K5" s="26">
        <v>1</v>
      </c>
      <c r="L5" s="30">
        <v>7</v>
      </c>
      <c r="M5" s="30">
        <v>7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6">
        <v>0</v>
      </c>
      <c r="U5" s="26">
        <v>0</v>
      </c>
    </row>
    <row r="6" spans="1:21">
      <c r="A6" s="26">
        <v>3</v>
      </c>
      <c r="B6" s="26" t="s">
        <v>62</v>
      </c>
      <c r="C6" s="26" t="s">
        <v>39</v>
      </c>
      <c r="D6" s="26">
        <v>6</v>
      </c>
      <c r="E6" s="26">
        <v>0</v>
      </c>
      <c r="F6" s="26">
        <v>0</v>
      </c>
      <c r="G6" s="26">
        <v>0</v>
      </c>
      <c r="H6" s="26">
        <v>0</v>
      </c>
      <c r="I6" s="26">
        <v>5</v>
      </c>
      <c r="J6" s="26">
        <v>1</v>
      </c>
      <c r="K6" s="26">
        <v>0</v>
      </c>
      <c r="L6" s="30">
        <v>4</v>
      </c>
      <c r="M6" s="30">
        <v>4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6">
        <v>0</v>
      </c>
      <c r="U6" s="26">
        <v>0</v>
      </c>
    </row>
    <row r="7" spans="1:21">
      <c r="A7" s="26">
        <v>4</v>
      </c>
      <c r="B7" s="26" t="s">
        <v>63</v>
      </c>
      <c r="C7" s="26" t="s">
        <v>41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5</v>
      </c>
      <c r="J7" s="26">
        <v>1</v>
      </c>
      <c r="K7" s="26">
        <v>0</v>
      </c>
      <c r="L7" s="30">
        <v>2</v>
      </c>
      <c r="M7" s="30">
        <v>2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0</v>
      </c>
    </row>
    <row r="8" spans="1:21">
      <c r="A8" s="26">
        <v>5</v>
      </c>
      <c r="B8" s="26" t="s">
        <v>64</v>
      </c>
      <c r="C8" s="26" t="s">
        <v>64</v>
      </c>
      <c r="D8" s="26">
        <v>7</v>
      </c>
      <c r="E8" s="26">
        <v>7</v>
      </c>
      <c r="F8" s="26">
        <v>0</v>
      </c>
      <c r="G8" s="26">
        <v>0</v>
      </c>
      <c r="H8" s="26">
        <v>0</v>
      </c>
      <c r="I8" s="26">
        <v>7</v>
      </c>
      <c r="J8" s="26">
        <v>2</v>
      </c>
      <c r="K8" s="26">
        <v>0</v>
      </c>
      <c r="L8" s="30">
        <v>6</v>
      </c>
      <c r="M8" s="30">
        <v>6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</row>
    <row r="9" spans="1:21">
      <c r="A9" s="26">
        <v>6</v>
      </c>
      <c r="B9" s="26" t="s">
        <v>65</v>
      </c>
      <c r="C9" s="26" t="s">
        <v>66</v>
      </c>
      <c r="D9" s="26">
        <v>0</v>
      </c>
      <c r="E9" s="26">
        <v>0</v>
      </c>
      <c r="F9" s="26">
        <v>0</v>
      </c>
      <c r="G9" s="26">
        <v>0</v>
      </c>
      <c r="H9" s="26">
        <v>0</v>
      </c>
      <c r="I9" s="26">
        <v>3</v>
      </c>
      <c r="J9" s="26">
        <v>0</v>
      </c>
      <c r="K9" s="26">
        <v>2</v>
      </c>
      <c r="L9" s="30">
        <v>8</v>
      </c>
      <c r="M9" s="30">
        <v>8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</v>
      </c>
    </row>
    <row r="10" spans="1:21">
      <c r="A10" s="26">
        <v>7</v>
      </c>
      <c r="B10" s="26" t="s">
        <v>153</v>
      </c>
      <c r="C10" s="26" t="s">
        <v>60</v>
      </c>
      <c r="D10" s="26">
        <v>12</v>
      </c>
      <c r="E10" s="26">
        <v>0</v>
      </c>
      <c r="F10" s="26">
        <v>0</v>
      </c>
      <c r="G10" s="26">
        <v>0</v>
      </c>
      <c r="H10" s="26">
        <v>0</v>
      </c>
      <c r="I10" s="26">
        <v>7</v>
      </c>
      <c r="J10" s="26">
        <v>3</v>
      </c>
      <c r="K10" s="26">
        <v>0</v>
      </c>
      <c r="L10" s="30">
        <v>6</v>
      </c>
      <c r="M10" s="30">
        <v>6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0</v>
      </c>
    </row>
    <row r="11" spans="1:21">
      <c r="A11" s="26">
        <v>8</v>
      </c>
      <c r="B11" s="27" t="s">
        <v>114</v>
      </c>
      <c r="C11" s="26" t="s">
        <v>39</v>
      </c>
      <c r="D11" s="26">
        <v>0</v>
      </c>
      <c r="E11" s="26">
        <v>0</v>
      </c>
      <c r="F11" s="26">
        <v>0</v>
      </c>
      <c r="G11" s="26">
        <v>0</v>
      </c>
      <c r="H11" s="26">
        <v>0</v>
      </c>
      <c r="I11" s="26">
        <v>3</v>
      </c>
      <c r="J11" s="26">
        <v>1</v>
      </c>
      <c r="K11" s="26">
        <v>2</v>
      </c>
      <c r="L11" s="30">
        <v>0</v>
      </c>
      <c r="M11" s="30">
        <v>0</v>
      </c>
      <c r="N11" s="26">
        <v>0</v>
      </c>
      <c r="O11" s="26">
        <v>0</v>
      </c>
      <c r="P11" s="26">
        <v>0</v>
      </c>
      <c r="Q11" s="26">
        <v>0</v>
      </c>
      <c r="R11" s="26">
        <v>1</v>
      </c>
      <c r="S11" s="26">
        <v>0</v>
      </c>
      <c r="T11" s="26">
        <v>0</v>
      </c>
      <c r="U11" s="26">
        <v>0</v>
      </c>
    </row>
    <row r="12" spans="1:21">
      <c r="A12" s="26">
        <v>9</v>
      </c>
      <c r="B12" s="27" t="s">
        <v>115</v>
      </c>
      <c r="C12" s="26" t="s">
        <v>118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3</v>
      </c>
      <c r="J12" s="26">
        <v>0</v>
      </c>
      <c r="K12" s="26">
        <v>2</v>
      </c>
      <c r="L12" s="30">
        <v>0</v>
      </c>
      <c r="M12" s="30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</row>
    <row r="13" spans="1:21">
      <c r="A13" s="26">
        <v>10</v>
      </c>
      <c r="B13" s="27" t="s">
        <v>116</v>
      </c>
      <c r="C13" s="26" t="s">
        <v>41</v>
      </c>
      <c r="D13" s="26">
        <v>0</v>
      </c>
      <c r="E13" s="26">
        <v>0</v>
      </c>
      <c r="F13" s="26">
        <v>0</v>
      </c>
      <c r="G13" s="26">
        <v>0</v>
      </c>
      <c r="H13" s="26">
        <v>0</v>
      </c>
      <c r="I13" s="26">
        <v>3</v>
      </c>
      <c r="J13" s="26">
        <v>1</v>
      </c>
      <c r="K13" s="26">
        <v>2</v>
      </c>
      <c r="L13" s="30">
        <v>0</v>
      </c>
      <c r="M13" s="30">
        <v>0</v>
      </c>
      <c r="N13" s="26">
        <v>0</v>
      </c>
      <c r="O13" s="26">
        <v>0</v>
      </c>
      <c r="P13" s="26">
        <v>0</v>
      </c>
      <c r="Q13" s="26">
        <v>0</v>
      </c>
      <c r="R13" s="26">
        <v>1</v>
      </c>
      <c r="S13" s="26">
        <v>0</v>
      </c>
      <c r="T13" s="26">
        <v>0</v>
      </c>
      <c r="U13" s="26">
        <v>0</v>
      </c>
    </row>
    <row r="14" spans="1:21">
      <c r="A14" s="26">
        <v>11</v>
      </c>
      <c r="B14" s="27" t="s">
        <v>117</v>
      </c>
      <c r="C14" s="26" t="s">
        <v>60</v>
      </c>
      <c r="D14" s="26">
        <v>8</v>
      </c>
      <c r="E14" s="26">
        <v>0</v>
      </c>
      <c r="F14" s="26">
        <v>0</v>
      </c>
      <c r="G14" s="26">
        <v>0</v>
      </c>
      <c r="H14" s="26">
        <v>0</v>
      </c>
      <c r="I14" s="26">
        <v>4</v>
      </c>
      <c r="J14" s="26">
        <v>1</v>
      </c>
      <c r="K14" s="26">
        <v>0</v>
      </c>
      <c r="L14" s="30">
        <v>0</v>
      </c>
      <c r="M14" s="30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6">
        <v>0</v>
      </c>
    </row>
    <row r="15" spans="1:21">
      <c r="A15" s="26">
        <v>12</v>
      </c>
      <c r="B15" s="28" t="s">
        <v>134</v>
      </c>
      <c r="C15" s="26" t="s">
        <v>60</v>
      </c>
      <c r="D15" s="26">
        <v>10</v>
      </c>
      <c r="E15" s="26">
        <v>0</v>
      </c>
      <c r="F15" s="26">
        <v>0</v>
      </c>
      <c r="G15" s="26">
        <v>0</v>
      </c>
      <c r="H15" s="26">
        <v>0</v>
      </c>
      <c r="I15" s="26">
        <v>4</v>
      </c>
      <c r="J15" s="26">
        <v>1</v>
      </c>
      <c r="K15" s="26">
        <v>0</v>
      </c>
      <c r="L15" s="30">
        <v>0</v>
      </c>
      <c r="M15" s="30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6">
        <v>0</v>
      </c>
      <c r="U15" s="26">
        <v>0</v>
      </c>
    </row>
    <row r="16" spans="1:21">
      <c r="A16" s="26">
        <v>13</v>
      </c>
      <c r="B16" s="27" t="s">
        <v>135</v>
      </c>
      <c r="C16" s="26" t="s">
        <v>35</v>
      </c>
      <c r="D16" s="26">
        <v>0</v>
      </c>
      <c r="E16" s="26">
        <v>5</v>
      </c>
      <c r="F16" s="26">
        <v>0</v>
      </c>
      <c r="G16" s="26">
        <v>0</v>
      </c>
      <c r="H16" s="26">
        <v>0</v>
      </c>
      <c r="I16" s="26">
        <v>3</v>
      </c>
      <c r="J16" s="26">
        <v>1</v>
      </c>
      <c r="K16" s="26">
        <v>1</v>
      </c>
      <c r="L16" s="30">
        <v>0</v>
      </c>
      <c r="M16" s="30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6">
        <v>0</v>
      </c>
      <c r="U16" s="26">
        <v>0</v>
      </c>
    </row>
    <row r="17" spans="1:21">
      <c r="A17" s="26">
        <v>14</v>
      </c>
      <c r="B17" s="27" t="s">
        <v>136</v>
      </c>
      <c r="C17" s="26" t="s">
        <v>66</v>
      </c>
      <c r="D17" s="26">
        <v>0</v>
      </c>
      <c r="E17" s="26">
        <v>0</v>
      </c>
      <c r="F17" s="26">
        <v>0</v>
      </c>
      <c r="G17" s="26">
        <v>0</v>
      </c>
      <c r="H17" s="26">
        <v>0</v>
      </c>
      <c r="I17" s="26">
        <v>3</v>
      </c>
      <c r="J17" s="26">
        <v>1</v>
      </c>
      <c r="K17" s="26">
        <v>2</v>
      </c>
      <c r="L17" s="30">
        <v>0</v>
      </c>
      <c r="M17" s="30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6">
        <v>0</v>
      </c>
      <c r="U17" s="26">
        <v>0</v>
      </c>
    </row>
    <row r="18" spans="1:21">
      <c r="A18" s="26">
        <v>15</v>
      </c>
      <c r="B18" s="27" t="s">
        <v>137</v>
      </c>
      <c r="C18" s="26" t="s">
        <v>60</v>
      </c>
      <c r="D18" s="26">
        <v>5</v>
      </c>
      <c r="E18" s="26">
        <v>0</v>
      </c>
      <c r="F18" s="26">
        <v>0</v>
      </c>
      <c r="G18" s="26">
        <v>0</v>
      </c>
      <c r="H18" s="26">
        <v>0</v>
      </c>
      <c r="I18" s="26">
        <v>2</v>
      </c>
      <c r="J18" s="26">
        <v>1</v>
      </c>
      <c r="K18" s="26">
        <v>0</v>
      </c>
      <c r="L18" s="30">
        <v>0</v>
      </c>
      <c r="M18" s="30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</row>
    <row r="19" spans="1:21">
      <c r="A19" s="26">
        <v>16</v>
      </c>
      <c r="B19" s="28" t="s">
        <v>150</v>
      </c>
      <c r="C19" s="26" t="s">
        <v>35</v>
      </c>
      <c r="D19" s="26">
        <v>0</v>
      </c>
      <c r="E19" s="26">
        <v>10</v>
      </c>
      <c r="F19" s="26">
        <v>0</v>
      </c>
      <c r="G19" s="26">
        <v>0</v>
      </c>
      <c r="H19" s="26">
        <v>0</v>
      </c>
      <c r="I19" s="26">
        <v>5</v>
      </c>
      <c r="J19" s="26">
        <v>2</v>
      </c>
      <c r="K19" s="26">
        <v>1</v>
      </c>
      <c r="L19" s="30">
        <v>0</v>
      </c>
      <c r="M19" s="30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6">
        <v>0</v>
      </c>
    </row>
    <row r="20" spans="1:21">
      <c r="A20" s="26">
        <v>17</v>
      </c>
      <c r="B20" s="27" t="s">
        <v>155</v>
      </c>
      <c r="C20" s="26" t="s">
        <v>41</v>
      </c>
      <c r="D20" s="26">
        <v>3</v>
      </c>
      <c r="E20" s="26">
        <v>0</v>
      </c>
      <c r="F20" s="26">
        <v>0</v>
      </c>
      <c r="G20" s="26">
        <v>0</v>
      </c>
      <c r="H20" s="26">
        <v>0</v>
      </c>
      <c r="I20" s="26">
        <v>4</v>
      </c>
      <c r="J20" s="26">
        <v>1</v>
      </c>
      <c r="K20" s="26">
        <v>0</v>
      </c>
      <c r="L20" s="30">
        <v>0</v>
      </c>
      <c r="M20" s="30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1</v>
      </c>
      <c r="T20" s="26">
        <v>0</v>
      </c>
      <c r="U20" s="26">
        <v>0</v>
      </c>
    </row>
    <row r="21" spans="1:21">
      <c r="A21" s="26">
        <v>18</v>
      </c>
      <c r="B21" s="27" t="s">
        <v>156</v>
      </c>
      <c r="C21" s="26" t="s">
        <v>157</v>
      </c>
      <c r="D21" s="26">
        <v>0</v>
      </c>
      <c r="E21" s="26">
        <v>0</v>
      </c>
      <c r="F21" s="26">
        <v>0</v>
      </c>
      <c r="G21" s="26">
        <v>0</v>
      </c>
      <c r="H21" s="26">
        <v>0</v>
      </c>
      <c r="I21" s="26">
        <v>4</v>
      </c>
      <c r="J21" s="26">
        <v>2</v>
      </c>
      <c r="K21" s="26">
        <v>2</v>
      </c>
      <c r="L21" s="30">
        <v>0</v>
      </c>
      <c r="M21" s="30">
        <v>0</v>
      </c>
      <c r="N21" s="26">
        <v>0</v>
      </c>
      <c r="O21" s="26">
        <v>2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</row>
    <row r="22" spans="1:21">
      <c r="A22" s="26">
        <v>19</v>
      </c>
      <c r="B22" s="26" t="s">
        <v>161</v>
      </c>
      <c r="C22" s="26" t="s">
        <v>39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4</v>
      </c>
      <c r="J22" s="26">
        <v>1</v>
      </c>
      <c r="K22" s="26">
        <v>2</v>
      </c>
      <c r="L22" s="30">
        <v>0</v>
      </c>
      <c r="M22" s="30">
        <v>0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  <c r="S22" s="26">
        <v>0</v>
      </c>
      <c r="T22" s="26">
        <v>0</v>
      </c>
      <c r="U22" s="26">
        <v>0</v>
      </c>
    </row>
    <row r="23" spans="1:21">
      <c r="A23" s="26">
        <v>20</v>
      </c>
      <c r="B23" s="26" t="s">
        <v>162</v>
      </c>
      <c r="C23" s="26" t="s">
        <v>43</v>
      </c>
      <c r="D23" s="26">
        <v>0</v>
      </c>
      <c r="E23" s="26">
        <v>3</v>
      </c>
      <c r="F23" s="26">
        <v>0</v>
      </c>
      <c r="G23" s="26">
        <v>0</v>
      </c>
      <c r="H23" s="26">
        <v>0</v>
      </c>
      <c r="I23" s="26">
        <v>6</v>
      </c>
      <c r="J23" s="26">
        <v>2</v>
      </c>
      <c r="K23" s="26">
        <v>2</v>
      </c>
      <c r="L23" s="30">
        <v>0</v>
      </c>
      <c r="M23" s="30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1</v>
      </c>
      <c r="U23" s="26">
        <v>0</v>
      </c>
    </row>
    <row r="24" spans="1:21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30"/>
      <c r="M24" s="30"/>
      <c r="N24" s="26"/>
      <c r="O24" s="26"/>
      <c r="P24" s="26"/>
      <c r="Q24" s="26"/>
      <c r="R24" s="26"/>
      <c r="S24" s="26"/>
      <c r="T24" s="26"/>
      <c r="U24" s="26"/>
    </row>
    <row r="25" spans="1:21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30"/>
      <c r="M25" s="30"/>
      <c r="N25" s="26"/>
      <c r="O25" s="26"/>
      <c r="P25" s="26"/>
      <c r="Q25" s="26"/>
      <c r="R25" s="26"/>
      <c r="S25" s="26"/>
      <c r="T25" s="26"/>
      <c r="U25" s="26"/>
    </row>
    <row r="26" spans="1:2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30"/>
      <c r="M26" s="30"/>
      <c r="N26" s="26"/>
      <c r="O26" s="26"/>
      <c r="P26" s="26"/>
      <c r="Q26" s="26"/>
      <c r="R26" s="26"/>
      <c r="S26" s="26"/>
      <c r="T26" s="26"/>
      <c r="U26" s="26"/>
    </row>
    <row r="27" spans="1:21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30"/>
      <c r="M27" s="30"/>
      <c r="N27" s="26"/>
      <c r="O27" s="26"/>
      <c r="P27" s="26"/>
      <c r="Q27" s="26"/>
      <c r="R27" s="26"/>
      <c r="S27" s="26"/>
      <c r="T27" s="26"/>
      <c r="U27" s="26"/>
    </row>
    <row r="28" spans="1:21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30"/>
      <c r="M28" s="30"/>
      <c r="N28" s="26"/>
      <c r="O28" s="26"/>
      <c r="P28" s="26"/>
      <c r="Q28" s="26"/>
      <c r="R28" s="26"/>
      <c r="S28" s="26"/>
      <c r="T28" s="26"/>
      <c r="U28" s="26"/>
    </row>
    <row r="29" spans="1:21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30"/>
      <c r="M29" s="30"/>
      <c r="N29" s="26"/>
      <c r="O29" s="26"/>
      <c r="P29" s="26"/>
      <c r="Q29" s="26"/>
      <c r="R29" s="26"/>
      <c r="S29" s="26"/>
      <c r="T29" s="26"/>
      <c r="U29" s="26"/>
    </row>
    <row r="30" spans="1:21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30"/>
      <c r="M30" s="30"/>
      <c r="N30" s="26"/>
      <c r="O30" s="26"/>
      <c r="P30" s="26"/>
      <c r="Q30" s="26"/>
      <c r="R30" s="26"/>
      <c r="S30" s="26"/>
      <c r="T30" s="26"/>
      <c r="U30" s="26"/>
    </row>
    <row r="31" spans="1:21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30"/>
      <c r="M31" s="30"/>
      <c r="N31" s="26"/>
      <c r="O31" s="26"/>
      <c r="P31" s="26"/>
      <c r="Q31" s="26"/>
      <c r="R31" s="26"/>
      <c r="S31" s="26"/>
      <c r="T31" s="26"/>
      <c r="U31" s="26"/>
    </row>
    <row r="32" spans="1:21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30"/>
      <c r="M32" s="30"/>
      <c r="N32" s="26"/>
      <c r="O32" s="26"/>
      <c r="P32" s="26"/>
      <c r="Q32" s="26"/>
      <c r="R32" s="26"/>
      <c r="S32" s="26"/>
      <c r="T32" s="26"/>
      <c r="U32" s="26"/>
    </row>
    <row r="33" spans="1:21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30"/>
      <c r="M33" s="30"/>
      <c r="N33" s="26"/>
      <c r="O33" s="26"/>
      <c r="P33" s="26"/>
      <c r="Q33" s="26"/>
      <c r="R33" s="26"/>
      <c r="S33" s="26"/>
      <c r="T33" s="26"/>
      <c r="U33" s="26"/>
    </row>
    <row r="34" spans="1:21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30"/>
      <c r="M34" s="30"/>
      <c r="N34" s="26"/>
      <c r="O34" s="26"/>
      <c r="P34" s="26"/>
      <c r="Q34" s="26"/>
      <c r="R34" s="26"/>
      <c r="S34" s="26"/>
      <c r="T34" s="26"/>
      <c r="U34" s="26"/>
    </row>
    <row r="35" spans="1:21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30"/>
      <c r="M35" s="30"/>
      <c r="N35" s="26"/>
      <c r="O35" s="26"/>
      <c r="P35" s="26"/>
      <c r="Q35" s="26"/>
      <c r="R35" s="26"/>
      <c r="S35" s="26"/>
      <c r="T35" s="26"/>
      <c r="U35" s="26"/>
    </row>
    <row r="36" spans="1:21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30"/>
      <c r="M36" s="30"/>
      <c r="N36" s="26"/>
      <c r="O36" s="26"/>
      <c r="P36" s="26"/>
      <c r="Q36" s="26"/>
      <c r="R36" s="26"/>
      <c r="S36" s="26"/>
      <c r="T36" s="26"/>
      <c r="U36" s="26"/>
    </row>
    <row r="37" spans="1:21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30"/>
      <c r="M37" s="30"/>
      <c r="N37" s="26"/>
      <c r="O37" s="26"/>
      <c r="P37" s="26"/>
      <c r="Q37" s="26"/>
      <c r="R37" s="26"/>
      <c r="S37" s="26"/>
      <c r="T37" s="26"/>
      <c r="U37" s="26"/>
    </row>
    <row r="38" spans="1:21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30"/>
      <c r="M38" s="30"/>
      <c r="N38" s="26"/>
      <c r="O38" s="26"/>
      <c r="P38" s="26"/>
      <c r="Q38" s="26"/>
      <c r="R38" s="26"/>
      <c r="S38" s="26"/>
      <c r="T38" s="26"/>
      <c r="U38" s="26"/>
    </row>
    <row r="39" spans="1:21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30"/>
      <c r="M39" s="30"/>
      <c r="N39" s="26"/>
      <c r="O39" s="26"/>
      <c r="P39" s="26"/>
      <c r="Q39" s="26"/>
      <c r="R39" s="26"/>
      <c r="S39" s="26"/>
      <c r="T39" s="26"/>
      <c r="U39" s="26"/>
    </row>
    <row r="40" spans="1:21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30"/>
      <c r="M40" s="30"/>
      <c r="N40" s="26"/>
      <c r="O40" s="26"/>
      <c r="P40" s="26"/>
      <c r="Q40" s="26"/>
      <c r="R40" s="26"/>
      <c r="S40" s="26"/>
      <c r="T40" s="26"/>
      <c r="U40" s="26"/>
    </row>
    <row r="41" spans="1:21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30"/>
      <c r="M41" s="30"/>
      <c r="N41" s="26"/>
      <c r="O41" s="26"/>
      <c r="P41" s="26"/>
      <c r="Q41" s="26"/>
      <c r="R41" s="26"/>
      <c r="S41" s="26"/>
      <c r="T41" s="26"/>
      <c r="U41" s="26"/>
    </row>
    <row r="42" spans="1:21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30"/>
      <c r="M42" s="30"/>
      <c r="N42" s="26"/>
      <c r="O42" s="26"/>
      <c r="P42" s="26"/>
      <c r="Q42" s="26"/>
      <c r="R42" s="26"/>
      <c r="S42" s="26"/>
      <c r="T42" s="26"/>
      <c r="U42" s="26"/>
    </row>
    <row r="43" spans="1:21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30"/>
      <c r="M43" s="30"/>
      <c r="N43" s="26"/>
      <c r="O43" s="26"/>
      <c r="P43" s="26"/>
      <c r="Q43" s="26"/>
      <c r="R43" s="26"/>
      <c r="S43" s="26"/>
      <c r="T43" s="26"/>
      <c r="U43" s="26"/>
    </row>
    <row r="44" spans="1:21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30"/>
      <c r="M44" s="30"/>
      <c r="N44" s="26"/>
      <c r="O44" s="26"/>
      <c r="P44" s="26"/>
      <c r="Q44" s="26"/>
      <c r="R44" s="26"/>
      <c r="S44" s="26"/>
      <c r="T44" s="26"/>
      <c r="U44" s="26"/>
    </row>
    <row r="45" spans="1:21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30"/>
      <c r="M45" s="30"/>
      <c r="N45" s="26"/>
      <c r="O45" s="26"/>
      <c r="P45" s="26"/>
      <c r="Q45" s="26"/>
      <c r="R45" s="26"/>
      <c r="S45" s="26"/>
      <c r="T45" s="26"/>
      <c r="U45" s="26"/>
    </row>
    <row r="46" spans="1:21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30"/>
      <c r="M46" s="30"/>
      <c r="N46" s="26"/>
      <c r="O46" s="26"/>
      <c r="P46" s="26"/>
      <c r="Q46" s="26"/>
      <c r="R46" s="26"/>
      <c r="S46" s="26"/>
      <c r="T46" s="26"/>
      <c r="U46" s="26"/>
    </row>
    <row r="47" spans="1:2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30"/>
      <c r="M47" s="30"/>
      <c r="N47" s="26"/>
      <c r="O47" s="26"/>
      <c r="P47" s="26"/>
      <c r="Q47" s="26"/>
      <c r="R47" s="26"/>
      <c r="S47" s="26"/>
      <c r="T47" s="26"/>
      <c r="U47" s="26"/>
    </row>
    <row r="48" spans="1:2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30"/>
      <c r="M48" s="30"/>
      <c r="N48" s="26"/>
      <c r="O48" s="26"/>
      <c r="P48" s="26"/>
      <c r="Q48" s="26"/>
      <c r="R48" s="26"/>
      <c r="S48" s="26"/>
      <c r="T48" s="26"/>
      <c r="U48" s="26"/>
    </row>
    <row r="49" spans="1:2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30"/>
      <c r="M49" s="30"/>
      <c r="N49" s="26"/>
      <c r="O49" s="26"/>
      <c r="P49" s="26"/>
      <c r="Q49" s="26"/>
      <c r="R49" s="26"/>
      <c r="S49" s="26"/>
      <c r="T49" s="26"/>
      <c r="U49" s="26"/>
    </row>
    <row r="50" spans="1:21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30"/>
      <c r="M50" s="30"/>
      <c r="N50" s="26"/>
      <c r="O50" s="26"/>
      <c r="P50" s="26"/>
      <c r="Q50" s="26"/>
      <c r="R50" s="26"/>
      <c r="S50" s="26"/>
      <c r="T50" s="26"/>
      <c r="U50" s="26"/>
    </row>
    <row r="51" spans="1:2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30"/>
      <c r="M51" s="30"/>
      <c r="N51" s="26"/>
      <c r="O51" s="26"/>
      <c r="P51" s="26"/>
      <c r="Q51" s="26"/>
      <c r="R51" s="26"/>
      <c r="S51" s="26"/>
      <c r="T51" s="26"/>
      <c r="U51" s="26"/>
    </row>
    <row r="52" spans="1:2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30"/>
      <c r="M52" s="30"/>
      <c r="N52" s="26"/>
      <c r="O52" s="26"/>
      <c r="P52" s="26"/>
      <c r="Q52" s="26"/>
      <c r="R52" s="26"/>
      <c r="S52" s="26"/>
      <c r="T52" s="26"/>
      <c r="U52" s="26"/>
    </row>
    <row r="53" spans="1:2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30"/>
      <c r="M53" s="30"/>
      <c r="N53" s="26"/>
      <c r="O53" s="26"/>
      <c r="P53" s="26"/>
      <c r="Q53" s="26"/>
      <c r="R53" s="26"/>
      <c r="S53" s="26"/>
      <c r="T53" s="26"/>
      <c r="U53" s="26"/>
    </row>
    <row r="54" spans="1:2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30"/>
      <c r="M54" s="30"/>
      <c r="N54" s="26"/>
      <c r="O54" s="26"/>
      <c r="P54" s="26"/>
      <c r="Q54" s="26"/>
      <c r="R54" s="26"/>
      <c r="S54" s="26"/>
      <c r="T54" s="26"/>
      <c r="U54" s="26"/>
    </row>
    <row r="55" spans="1:21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30"/>
      <c r="M55" s="30"/>
      <c r="N55" s="26"/>
      <c r="O55" s="26"/>
      <c r="P55" s="26"/>
      <c r="Q55" s="26"/>
      <c r="R55" s="26"/>
      <c r="S55" s="26"/>
      <c r="T55" s="26"/>
      <c r="U55" s="26"/>
    </row>
    <row r="56" spans="1:21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30"/>
      <c r="M56" s="30"/>
      <c r="N56" s="26"/>
      <c r="O56" s="26"/>
      <c r="P56" s="26"/>
      <c r="Q56" s="26"/>
      <c r="R56" s="26"/>
      <c r="S56" s="26"/>
      <c r="T56" s="26"/>
      <c r="U56" s="26"/>
    </row>
    <row r="57" spans="1:21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30"/>
      <c r="M57" s="30"/>
      <c r="N57" s="26"/>
      <c r="O57" s="26"/>
      <c r="P57" s="26"/>
      <c r="Q57" s="26"/>
      <c r="R57" s="26"/>
      <c r="S57" s="26"/>
      <c r="T57" s="26"/>
      <c r="U57" s="26"/>
    </row>
    <row r="58" spans="1:21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30"/>
      <c r="M58" s="30"/>
      <c r="N58" s="26"/>
      <c r="O58" s="26"/>
      <c r="P58" s="26"/>
      <c r="Q58" s="26"/>
      <c r="R58" s="26"/>
      <c r="S58" s="26"/>
      <c r="T58" s="26"/>
      <c r="U58" s="26"/>
    </row>
    <row r="59" spans="1:21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30"/>
      <c r="M59" s="30"/>
      <c r="N59" s="26"/>
      <c r="O59" s="26"/>
      <c r="P59" s="26"/>
      <c r="Q59" s="26"/>
      <c r="R59" s="26"/>
      <c r="S59" s="26"/>
      <c r="T59" s="26"/>
      <c r="U59" s="26"/>
    </row>
    <row r="60" spans="1:21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30"/>
      <c r="M60" s="30"/>
      <c r="N60" s="26"/>
      <c r="O60" s="26"/>
      <c r="P60" s="26"/>
      <c r="Q60" s="26"/>
      <c r="R60" s="26"/>
      <c r="S60" s="26"/>
      <c r="T60" s="26"/>
      <c r="U60" s="26"/>
    </row>
    <row r="61" spans="1:2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30"/>
      <c r="M61" s="30"/>
      <c r="N61" s="26"/>
      <c r="O61" s="26"/>
      <c r="P61" s="26"/>
      <c r="Q61" s="26"/>
      <c r="R61" s="26"/>
      <c r="S61" s="26"/>
      <c r="T61" s="26"/>
      <c r="U61" s="26"/>
    </row>
    <row r="62" spans="1:2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30"/>
      <c r="M62" s="30"/>
      <c r="N62" s="26"/>
      <c r="O62" s="26"/>
      <c r="P62" s="26"/>
      <c r="Q62" s="26"/>
      <c r="R62" s="26"/>
      <c r="S62" s="26"/>
      <c r="T62" s="26"/>
      <c r="U62" s="26"/>
    </row>
    <row r="63" spans="1:2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30"/>
      <c r="M63" s="30"/>
      <c r="N63" s="26"/>
      <c r="O63" s="26"/>
      <c r="P63" s="26"/>
      <c r="Q63" s="26"/>
      <c r="R63" s="26"/>
      <c r="S63" s="26"/>
      <c r="T63" s="26"/>
      <c r="U63" s="26"/>
    </row>
    <row r="64" spans="1:21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30"/>
      <c r="M64" s="30"/>
      <c r="N64" s="26"/>
      <c r="O64" s="26"/>
      <c r="P64" s="26"/>
      <c r="Q64" s="26"/>
      <c r="R64" s="26"/>
      <c r="S64" s="26"/>
      <c r="T64" s="26"/>
      <c r="U64" s="26"/>
    </row>
    <row r="65" spans="1:21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30"/>
      <c r="M65" s="30"/>
      <c r="N65" s="26"/>
      <c r="O65" s="26"/>
      <c r="P65" s="26"/>
      <c r="Q65" s="26"/>
      <c r="R65" s="26"/>
      <c r="S65" s="26"/>
      <c r="T65" s="26"/>
      <c r="U65" s="26"/>
    </row>
    <row r="66" spans="1:21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30"/>
      <c r="M66" s="30"/>
      <c r="N66" s="26"/>
      <c r="O66" s="26"/>
      <c r="P66" s="26"/>
      <c r="Q66" s="26"/>
      <c r="R66" s="26"/>
      <c r="S66" s="26"/>
      <c r="T66" s="26"/>
      <c r="U66" s="26"/>
    </row>
    <row r="67" spans="1:21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30"/>
      <c r="M67" s="30"/>
      <c r="N67" s="26"/>
      <c r="O67" s="26"/>
      <c r="P67" s="26"/>
      <c r="Q67" s="26"/>
      <c r="R67" s="26"/>
      <c r="S67" s="26"/>
      <c r="T67" s="26"/>
      <c r="U67" s="26"/>
    </row>
    <row r="68" spans="1:21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30"/>
      <c r="M68" s="30"/>
      <c r="N68" s="26"/>
      <c r="O68" s="26"/>
      <c r="P68" s="26"/>
      <c r="Q68" s="26"/>
      <c r="R68" s="26"/>
      <c r="S68" s="26"/>
      <c r="T68" s="26"/>
      <c r="U68" s="26"/>
    </row>
    <row r="69" spans="1:21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30"/>
      <c r="M69" s="30"/>
      <c r="N69" s="26"/>
      <c r="O69" s="26"/>
      <c r="P69" s="26"/>
      <c r="Q69" s="26"/>
      <c r="R69" s="26"/>
      <c r="S69" s="26"/>
      <c r="T69" s="26"/>
      <c r="U69" s="26"/>
    </row>
    <row r="70" spans="1:21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30"/>
      <c r="M70" s="30"/>
      <c r="N70" s="26"/>
      <c r="O70" s="26"/>
      <c r="P70" s="26"/>
      <c r="Q70" s="26"/>
      <c r="R70" s="26"/>
      <c r="S70" s="26"/>
      <c r="T70" s="26"/>
      <c r="U70" s="26"/>
    </row>
    <row r="71" spans="1:21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30"/>
      <c r="M71" s="30"/>
      <c r="N71" s="26"/>
      <c r="O71" s="26"/>
      <c r="P71" s="26"/>
      <c r="Q71" s="26"/>
      <c r="R71" s="26"/>
      <c r="S71" s="26"/>
      <c r="T71" s="26"/>
      <c r="U71" s="26"/>
    </row>
    <row r="72" spans="1:21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30"/>
      <c r="M72" s="30"/>
      <c r="N72" s="26"/>
      <c r="O72" s="26"/>
      <c r="P72" s="26"/>
      <c r="Q72" s="26"/>
      <c r="R72" s="26"/>
      <c r="S72" s="26"/>
      <c r="T72" s="26"/>
      <c r="U72" s="26"/>
    </row>
    <row r="73" spans="1:21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30"/>
      <c r="M73" s="30"/>
      <c r="N73" s="26"/>
      <c r="O73" s="26"/>
      <c r="P73" s="26"/>
      <c r="Q73" s="26"/>
      <c r="R73" s="26"/>
      <c r="S73" s="26"/>
      <c r="T73" s="26"/>
      <c r="U73" s="26"/>
    </row>
    <row r="74" spans="1:21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30"/>
      <c r="M74" s="30"/>
      <c r="N74" s="26"/>
      <c r="O74" s="26"/>
      <c r="P74" s="26"/>
      <c r="Q74" s="26"/>
      <c r="R74" s="26"/>
      <c r="S74" s="26"/>
      <c r="T74" s="26"/>
      <c r="U74" s="26"/>
    </row>
    <row r="75" spans="1:21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30"/>
      <c r="M75" s="30"/>
      <c r="N75" s="26"/>
      <c r="O75" s="26"/>
      <c r="P75" s="26"/>
      <c r="Q75" s="26"/>
      <c r="R75" s="26"/>
      <c r="S75" s="26"/>
      <c r="T75" s="26"/>
      <c r="U75" s="26"/>
    </row>
    <row r="76" spans="1:21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30"/>
      <c r="M76" s="30"/>
      <c r="N76" s="26"/>
      <c r="O76" s="26"/>
      <c r="P76" s="26"/>
      <c r="Q76" s="26"/>
      <c r="R76" s="26"/>
      <c r="S76" s="26"/>
      <c r="T76" s="26"/>
      <c r="U76" s="26"/>
    </row>
    <row r="77" spans="1:21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30"/>
      <c r="M77" s="30"/>
      <c r="N77" s="26"/>
      <c r="O77" s="26"/>
      <c r="P77" s="26"/>
      <c r="Q77" s="26"/>
      <c r="R77" s="26"/>
      <c r="S77" s="26"/>
      <c r="T77" s="26"/>
      <c r="U77" s="26"/>
    </row>
    <row r="78" spans="1:21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30"/>
      <c r="M78" s="30"/>
      <c r="N78" s="26"/>
      <c r="O78" s="26"/>
      <c r="P78" s="26"/>
      <c r="Q78" s="26"/>
      <c r="R78" s="26"/>
      <c r="S78" s="26"/>
      <c r="T78" s="26"/>
      <c r="U78" s="26"/>
    </row>
    <row r="79" spans="1:21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30"/>
      <c r="M79" s="30"/>
      <c r="N79" s="26"/>
      <c r="O79" s="26"/>
      <c r="P79" s="26"/>
      <c r="Q79" s="26"/>
      <c r="R79" s="26"/>
      <c r="S79" s="26"/>
      <c r="T79" s="26"/>
      <c r="U79" s="26"/>
    </row>
    <row r="80" spans="1:21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30"/>
      <c r="M80" s="30"/>
      <c r="N80" s="26"/>
      <c r="O80" s="26"/>
      <c r="P80" s="26"/>
      <c r="Q80" s="26"/>
      <c r="R80" s="26"/>
      <c r="S80" s="26"/>
      <c r="T80" s="26"/>
      <c r="U80" s="26"/>
    </row>
    <row r="81" spans="1:21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30"/>
      <c r="M81" s="30"/>
      <c r="N81" s="26"/>
      <c r="O81" s="26"/>
      <c r="P81" s="26"/>
      <c r="Q81" s="26"/>
      <c r="R81" s="26"/>
      <c r="S81" s="26"/>
      <c r="T81" s="26"/>
      <c r="U81" s="26"/>
    </row>
    <row r="82" spans="1:21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30"/>
      <c r="M82" s="30"/>
      <c r="N82" s="26"/>
      <c r="O82" s="26"/>
      <c r="P82" s="26"/>
      <c r="Q82" s="26"/>
      <c r="R82" s="26"/>
      <c r="S82" s="26"/>
      <c r="T82" s="26"/>
      <c r="U82" s="26"/>
    </row>
    <row r="83" spans="1:21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30"/>
      <c r="M83" s="30"/>
      <c r="N83" s="26"/>
      <c r="O83" s="26"/>
      <c r="P83" s="26"/>
      <c r="Q83" s="26"/>
      <c r="R83" s="26"/>
      <c r="S83" s="26"/>
      <c r="T83" s="26"/>
      <c r="U83" s="26"/>
    </row>
    <row r="84" spans="1:21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30"/>
      <c r="M84" s="30"/>
      <c r="N84" s="26"/>
      <c r="O84" s="26"/>
      <c r="P84" s="26"/>
      <c r="Q84" s="26"/>
      <c r="R84" s="26"/>
      <c r="S84" s="26"/>
      <c r="T84" s="26"/>
      <c r="U84" s="26"/>
    </row>
    <row r="85" spans="1:21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30"/>
      <c r="M85" s="30"/>
      <c r="N85" s="26"/>
      <c r="O85" s="26"/>
      <c r="P85" s="26"/>
      <c r="Q85" s="26"/>
      <c r="R85" s="26"/>
      <c r="S85" s="26"/>
      <c r="T85" s="26"/>
      <c r="U85" s="26"/>
    </row>
    <row r="86" spans="1:21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30"/>
      <c r="M86" s="30"/>
      <c r="N86" s="26"/>
      <c r="O86" s="26"/>
      <c r="P86" s="26"/>
      <c r="Q86" s="26"/>
      <c r="R86" s="26"/>
      <c r="S86" s="26"/>
      <c r="T86" s="26"/>
      <c r="U86" s="26"/>
    </row>
    <row r="87" spans="1:21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30"/>
      <c r="M87" s="30"/>
      <c r="N87" s="26"/>
      <c r="O87" s="26"/>
      <c r="P87" s="26"/>
      <c r="Q87" s="26"/>
      <c r="R87" s="26"/>
      <c r="S87" s="26"/>
      <c r="T87" s="26"/>
      <c r="U87" s="26"/>
    </row>
    <row r="88" spans="1:2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30"/>
      <c r="M88" s="30"/>
      <c r="N88" s="26"/>
      <c r="O88" s="26"/>
      <c r="P88" s="26"/>
      <c r="Q88" s="26"/>
      <c r="R88" s="26"/>
      <c r="S88" s="26"/>
      <c r="T88" s="26"/>
      <c r="U88" s="26"/>
    </row>
    <row r="89" spans="1:21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30"/>
      <c r="M89" s="30"/>
      <c r="N89" s="26"/>
      <c r="O89" s="26"/>
      <c r="P89" s="26"/>
      <c r="Q89" s="26"/>
      <c r="R89" s="26"/>
      <c r="S89" s="26"/>
      <c r="T89" s="26"/>
      <c r="U89" s="26"/>
    </row>
    <row r="90" spans="1:21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30"/>
      <c r="M90" s="30"/>
      <c r="N90" s="26"/>
      <c r="O90" s="26"/>
      <c r="P90" s="26"/>
      <c r="Q90" s="26"/>
      <c r="R90" s="26"/>
      <c r="S90" s="26"/>
      <c r="T90" s="26"/>
      <c r="U90" s="26"/>
    </row>
    <row r="91" spans="1:21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30"/>
      <c r="M91" s="30"/>
      <c r="N91" s="26"/>
      <c r="O91" s="26"/>
      <c r="P91" s="26"/>
      <c r="Q91" s="26"/>
      <c r="R91" s="26"/>
      <c r="S91" s="26"/>
      <c r="T91" s="26"/>
      <c r="U91" s="26"/>
    </row>
    <row r="92" spans="1:21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30"/>
      <c r="M92" s="30"/>
      <c r="N92" s="26"/>
      <c r="O92" s="26"/>
      <c r="P92" s="26"/>
      <c r="Q92" s="26"/>
      <c r="R92" s="26"/>
      <c r="S92" s="26"/>
      <c r="T92" s="26"/>
      <c r="U92" s="26"/>
    </row>
    <row r="93" spans="1:21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30"/>
      <c r="M93" s="30"/>
      <c r="N93" s="26"/>
      <c r="O93" s="26"/>
      <c r="P93" s="26"/>
      <c r="Q93" s="26"/>
      <c r="R93" s="26"/>
      <c r="S93" s="26"/>
      <c r="T93" s="26"/>
      <c r="U93" s="26"/>
    </row>
    <row r="94" spans="1:21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30"/>
      <c r="M94" s="30"/>
      <c r="N94" s="26"/>
      <c r="O94" s="26"/>
      <c r="P94" s="26"/>
      <c r="Q94" s="26"/>
      <c r="R94" s="26"/>
      <c r="S94" s="26"/>
      <c r="T94" s="26"/>
      <c r="U94" s="26"/>
    </row>
    <row r="95" spans="1:21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30"/>
      <c r="M95" s="30"/>
      <c r="N95" s="26"/>
      <c r="O95" s="26"/>
      <c r="P95" s="26"/>
      <c r="Q95" s="26"/>
      <c r="R95" s="26"/>
      <c r="S95" s="26"/>
      <c r="T95" s="26"/>
      <c r="U95" s="26"/>
    </row>
    <row r="96" spans="1:21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30"/>
      <c r="M96" s="30"/>
      <c r="N96" s="26"/>
      <c r="O96" s="26"/>
      <c r="P96" s="26"/>
      <c r="Q96" s="26"/>
      <c r="R96" s="26"/>
      <c r="S96" s="26"/>
      <c r="T96" s="26"/>
      <c r="U96" s="26"/>
    </row>
    <row r="97" spans="1:21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30"/>
      <c r="M97" s="30"/>
      <c r="N97" s="26"/>
      <c r="O97" s="26"/>
      <c r="P97" s="26"/>
      <c r="Q97" s="26"/>
      <c r="R97" s="26"/>
      <c r="S97" s="26"/>
      <c r="T97" s="26"/>
      <c r="U97" s="26"/>
    </row>
    <row r="98" spans="1:21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30"/>
      <c r="M98" s="30"/>
      <c r="N98" s="26"/>
      <c r="O98" s="26"/>
      <c r="P98" s="26"/>
      <c r="Q98" s="26"/>
      <c r="R98" s="26"/>
      <c r="S98" s="26"/>
      <c r="T98" s="26"/>
      <c r="U98" s="26"/>
    </row>
    <row r="99" spans="1:21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30"/>
      <c r="M99" s="30"/>
      <c r="N99" s="26"/>
      <c r="O99" s="26"/>
      <c r="P99" s="26"/>
      <c r="Q99" s="26"/>
      <c r="R99" s="26"/>
      <c r="S99" s="26"/>
      <c r="T99" s="26"/>
      <c r="U99" s="26"/>
    </row>
    <row r="100" spans="1:21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30"/>
      <c r="M100" s="30"/>
      <c r="N100" s="26"/>
      <c r="O100" s="26"/>
      <c r="P100" s="26"/>
      <c r="Q100" s="26"/>
      <c r="R100" s="26"/>
      <c r="S100" s="26"/>
      <c r="T100" s="26"/>
      <c r="U100" s="26"/>
    </row>
  </sheetData>
  <phoneticPr fontId="1"/>
  <conditionalFormatting sqref="K3:K51">
    <cfRule type="cellIs" dxfId="7" priority="3" operator="equal">
      <formula>2</formula>
    </cfRule>
    <cfRule type="cellIs" dxfId="6" priority="4" operator="equal">
      <formula>1</formula>
    </cfRule>
    <cfRule type="cellIs" dxfId="5" priority="5" operator="equal">
      <formula>0</formula>
    </cfRule>
  </conditionalFormatting>
  <conditionalFormatting sqref="H2 F1:F14 H13:J14 I15:J18 I20:I21 F16:F21 H19:I19">
    <cfRule type="cellIs" dxfId="4" priority="2" operator="equal">
      <formula>0</formula>
    </cfRule>
  </conditionalFormatting>
  <conditionalFormatting sqref="G1:G14 G16:G21">
    <cfRule type="cellIs" dxfId="3" priority="1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J21" sqref="J21"/>
    </sheetView>
  </sheetViews>
  <sheetFormatPr defaultRowHeight="18.75"/>
  <sheetData>
    <row r="1" spans="1:5">
      <c r="A1" t="s">
        <v>67</v>
      </c>
      <c r="B1" t="s">
        <v>89</v>
      </c>
      <c r="C1" t="s">
        <v>86</v>
      </c>
      <c r="D1" t="s">
        <v>87</v>
      </c>
      <c r="E1" t="s">
        <v>88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0</v>
      </c>
      <c r="E3">
        <v>0</v>
      </c>
    </row>
    <row r="4" spans="1:5">
      <c r="A4">
        <v>1</v>
      </c>
      <c r="B4">
        <v>1</v>
      </c>
      <c r="C4">
        <v>1</v>
      </c>
      <c r="D4">
        <v>1</v>
      </c>
      <c r="E4">
        <v>1</v>
      </c>
    </row>
    <row r="5" spans="1:5">
      <c r="A5">
        <v>2</v>
      </c>
      <c r="B5">
        <v>2</v>
      </c>
      <c r="C5">
        <v>2</v>
      </c>
      <c r="D5">
        <v>2</v>
      </c>
      <c r="E5">
        <v>2</v>
      </c>
    </row>
    <row r="6" spans="1:5">
      <c r="A6">
        <v>3</v>
      </c>
      <c r="B6">
        <v>3</v>
      </c>
      <c r="C6">
        <v>3</v>
      </c>
      <c r="D6">
        <v>3</v>
      </c>
      <c r="E6">
        <v>3</v>
      </c>
    </row>
    <row r="7" spans="1:5">
      <c r="A7">
        <v>4</v>
      </c>
      <c r="B7">
        <v>4</v>
      </c>
      <c r="C7">
        <v>4</v>
      </c>
      <c r="D7">
        <v>4</v>
      </c>
      <c r="E7">
        <v>4</v>
      </c>
    </row>
    <row r="8" spans="1:5">
      <c r="A8">
        <v>5</v>
      </c>
      <c r="B8">
        <v>5</v>
      </c>
      <c r="C8">
        <v>5</v>
      </c>
      <c r="D8">
        <v>5</v>
      </c>
      <c r="E8">
        <v>5</v>
      </c>
    </row>
    <row r="9" spans="1:5">
      <c r="A9">
        <v>6</v>
      </c>
      <c r="B9">
        <v>6</v>
      </c>
      <c r="C9">
        <v>6</v>
      </c>
      <c r="D9">
        <v>6</v>
      </c>
      <c r="E9">
        <v>6</v>
      </c>
    </row>
    <row r="10" spans="1:5">
      <c r="A10">
        <v>7</v>
      </c>
      <c r="B10">
        <v>7</v>
      </c>
      <c r="C10">
        <v>7</v>
      </c>
      <c r="D10">
        <v>7</v>
      </c>
      <c r="E10">
        <v>7</v>
      </c>
    </row>
    <row r="11" spans="1:5">
      <c r="A11">
        <v>8</v>
      </c>
      <c r="B11">
        <v>8</v>
      </c>
      <c r="C11">
        <v>8</v>
      </c>
      <c r="D11">
        <v>8</v>
      </c>
      <c r="E11">
        <v>8</v>
      </c>
    </row>
    <row r="12" spans="1:5">
      <c r="A12">
        <v>9</v>
      </c>
      <c r="B12">
        <v>9</v>
      </c>
      <c r="C12">
        <v>9</v>
      </c>
      <c r="D12">
        <v>9</v>
      </c>
      <c r="E12">
        <v>9</v>
      </c>
    </row>
    <row r="13" spans="1:5">
      <c r="A13">
        <v>10</v>
      </c>
      <c r="B13">
        <v>10</v>
      </c>
      <c r="C13">
        <v>10</v>
      </c>
      <c r="D13">
        <v>10</v>
      </c>
      <c r="E13">
        <v>10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G21" sqref="G21"/>
    </sheetView>
  </sheetViews>
  <sheetFormatPr defaultRowHeight="18.75"/>
  <cols>
    <col min="2" max="5" width="17.125" bestFit="1" customWidth="1"/>
    <col min="6" max="6" width="13" bestFit="1" customWidth="1"/>
  </cols>
  <sheetData>
    <row r="1" spans="1:6">
      <c r="A1" t="s">
        <v>11</v>
      </c>
      <c r="B1" s="10" t="s">
        <v>68</v>
      </c>
      <c r="C1" s="10" t="s">
        <v>69</v>
      </c>
      <c r="D1" s="10" t="s">
        <v>70</v>
      </c>
      <c r="E1" s="10" t="s">
        <v>71</v>
      </c>
      <c r="F1" s="10" t="s">
        <v>72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2</v>
      </c>
      <c r="E3">
        <v>-1</v>
      </c>
      <c r="F3">
        <v>-1</v>
      </c>
    </row>
    <row r="4" spans="1:6">
      <c r="A4">
        <v>1</v>
      </c>
      <c r="B4">
        <v>3</v>
      </c>
      <c r="C4">
        <v>-1</v>
      </c>
      <c r="D4">
        <v>4</v>
      </c>
      <c r="E4">
        <v>-1</v>
      </c>
      <c r="F4">
        <v>-1</v>
      </c>
    </row>
    <row r="5" spans="1:6">
      <c r="A5">
        <v>2</v>
      </c>
      <c r="B5">
        <v>1</v>
      </c>
      <c r="C5">
        <v>2</v>
      </c>
      <c r="D5">
        <v>1</v>
      </c>
      <c r="E5">
        <v>-1</v>
      </c>
      <c r="F5">
        <v>-1</v>
      </c>
    </row>
    <row r="6" spans="1:6">
      <c r="A6">
        <v>3</v>
      </c>
      <c r="B6">
        <v>3</v>
      </c>
      <c r="C6">
        <v>-1</v>
      </c>
      <c r="D6">
        <v>5</v>
      </c>
      <c r="E6">
        <v>-1</v>
      </c>
      <c r="F6">
        <v>-1</v>
      </c>
    </row>
    <row r="7" spans="1:6">
      <c r="A7">
        <v>4</v>
      </c>
      <c r="B7">
        <v>4</v>
      </c>
      <c r="C7">
        <v>2</v>
      </c>
      <c r="D7">
        <v>1</v>
      </c>
      <c r="E7">
        <v>-1</v>
      </c>
      <c r="F7">
        <v>-1</v>
      </c>
    </row>
    <row r="8" spans="1:6">
      <c r="A8">
        <v>5</v>
      </c>
      <c r="B8">
        <v>6</v>
      </c>
      <c r="C8">
        <v>-1</v>
      </c>
      <c r="D8">
        <v>-1</v>
      </c>
      <c r="E8">
        <v>-1</v>
      </c>
      <c r="F8">
        <v>-1</v>
      </c>
    </row>
    <row r="9" spans="1:6">
      <c r="A9">
        <v>6</v>
      </c>
      <c r="B9">
        <v>7</v>
      </c>
      <c r="C9">
        <v>1</v>
      </c>
      <c r="D9">
        <v>-1</v>
      </c>
      <c r="E9">
        <v>-1</v>
      </c>
      <c r="F9">
        <v>-1</v>
      </c>
    </row>
    <row r="10" spans="1:6">
      <c r="A10">
        <v>7</v>
      </c>
      <c r="B10">
        <v>8</v>
      </c>
      <c r="C10">
        <v>2</v>
      </c>
      <c r="D10">
        <v>-1</v>
      </c>
      <c r="E10">
        <v>-1</v>
      </c>
      <c r="F10">
        <v>-1</v>
      </c>
    </row>
    <row r="11" spans="1:6">
      <c r="A11">
        <v>8</v>
      </c>
      <c r="B11">
        <v>9</v>
      </c>
      <c r="C11">
        <v>2</v>
      </c>
      <c r="D11">
        <v>-1</v>
      </c>
      <c r="E11">
        <v>-1</v>
      </c>
      <c r="F11">
        <v>-1</v>
      </c>
    </row>
    <row r="12" spans="1:6">
      <c r="A12">
        <v>9</v>
      </c>
      <c r="B12">
        <v>1</v>
      </c>
      <c r="C12">
        <v>6</v>
      </c>
      <c r="D12">
        <v>2</v>
      </c>
      <c r="E12">
        <v>-1</v>
      </c>
      <c r="F12">
        <v>-1</v>
      </c>
    </row>
    <row r="13" spans="1:6">
      <c r="A13">
        <v>10</v>
      </c>
      <c r="B13">
        <v>7</v>
      </c>
      <c r="C13">
        <v>8</v>
      </c>
      <c r="D13">
        <v>9</v>
      </c>
      <c r="E13">
        <v>-1</v>
      </c>
      <c r="F13">
        <v>-1</v>
      </c>
    </row>
    <row r="14" spans="1:6">
      <c r="A14">
        <v>11</v>
      </c>
      <c r="B14">
        <v>1</v>
      </c>
      <c r="C14">
        <v>2</v>
      </c>
      <c r="D14">
        <v>1</v>
      </c>
      <c r="E14">
        <v>2</v>
      </c>
      <c r="F14">
        <v>-1</v>
      </c>
    </row>
    <row r="15" spans="1:6">
      <c r="A15">
        <v>12</v>
      </c>
      <c r="B15">
        <v>11</v>
      </c>
      <c r="C15">
        <v>12</v>
      </c>
      <c r="D15">
        <v>11</v>
      </c>
      <c r="E15">
        <v>-1</v>
      </c>
      <c r="F15">
        <v>-1</v>
      </c>
    </row>
    <row r="16" spans="1:6">
      <c r="A16">
        <v>13</v>
      </c>
      <c r="B16">
        <v>13</v>
      </c>
      <c r="C16">
        <v>14</v>
      </c>
      <c r="D16">
        <v>-1</v>
      </c>
      <c r="E16">
        <v>-1</v>
      </c>
      <c r="F16">
        <v>-1</v>
      </c>
    </row>
    <row r="17" spans="1:6">
      <c r="A17">
        <v>14</v>
      </c>
      <c r="B17">
        <v>7</v>
      </c>
      <c r="C17">
        <v>13</v>
      </c>
      <c r="D17">
        <v>6</v>
      </c>
      <c r="E17">
        <v>-1</v>
      </c>
      <c r="F17">
        <v>-1</v>
      </c>
    </row>
    <row r="18" spans="1:6">
      <c r="A18">
        <v>15</v>
      </c>
      <c r="B18">
        <v>10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6 C4:D6 B3:B6 B7:E7 F5:F9 B8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:E5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9CCCF1-CEF5-4FC6-ADB7-404C214E67C9}">
          <x14:formula1>
            <xm:f>Enemy!$E$3:$E$17</xm:f>
          </x14:formula1>
          <xm:sqref>B3:F50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ryose</cp:lastModifiedBy>
  <dcterms:created xsi:type="dcterms:W3CDTF">2022-12-10T05:11:31Z</dcterms:created>
  <dcterms:modified xsi:type="dcterms:W3CDTF">2023-01-28T08:12:22Z</dcterms:modified>
</cp:coreProperties>
</file>